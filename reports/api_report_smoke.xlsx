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onent Breakdown" sheetId="2" state="visible" r:id="rId2"/>
    <sheet name="Investment Plan" sheetId="3" state="visible" r:id="rId3"/>
    <sheet name="Portfolio Comparison" sheetId="4" state="visible" r:id="rId4"/>
    <sheet name="Trade Signals" sheetId="5" state="visible" r:id="rId5"/>
    <sheet name="Stress Scenarios" sheetId="6" state="visible" r:id="rId6"/>
    <sheet name="Recommendations" sheetId="7" state="visible" r:id="rId7"/>
    <sheet name="Macro Snapsho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;($#,##0)"/>
    <numFmt numFmtId="167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Fragility component contributions to HFFI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'Component Breakdown'!C3</f>
            </strRef>
          </tx>
          <spPr>
            <a:ln>
              <a:prstDash val="solid"/>
            </a:ln>
          </spPr>
          <cat>
            <numRef>
              <f>'Component Breakdown'!$A$4:$A$9</f>
            </numRef>
          </cat>
          <val>
            <numRef>
              <f>'Component Breakdown'!$C$4:$C$9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Points contributed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Growth portfolio — wealth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'Investment Plan'!C14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Plan'!$C$15:$C$25</f>
            </numRef>
          </val>
        </ser>
        <ser>
          <idx val="1"/>
          <order val="1"/>
          <tx>
            <strRef>
              <f>'Investment Plan'!D14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Plan'!$D$15:$D$25</f>
            </numRef>
          </val>
        </ser>
        <ser>
          <idx val="2"/>
          <order val="2"/>
          <tx>
            <strRef>
              <f>'Investment Plan'!E14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Plan'!$E$15:$E$25</f>
            </numRef>
          </val>
        </ser>
        <ser>
          <idx val="3"/>
          <order val="3"/>
          <tx>
            <strRef>
              <f>'Investment Plan'!F14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Plan'!$F$15:$F$25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35" customWidth="1" min="3" max="3"/>
    <col width="2" customWidth="1" min="4" max="4"/>
  </cols>
  <sheetData>
    <row r="1" ht="28" customHeight="1">
      <c r="A1" s="1" t="inlineStr">
        <is>
          <t>HFFI TERMINAL — INVESTMENT REPORT</t>
        </is>
      </c>
    </row>
    <row r="2">
      <c r="A2" s="2" t="inlineStr">
        <is>
          <t>Generated: 2026-05-13 19:48</t>
        </is>
      </c>
    </row>
    <row r="3"/>
    <row r="4">
      <c r="A4" s="3" t="inlineStr">
        <is>
          <t>HEADLINE FRAGILITY METRICS</t>
        </is>
      </c>
    </row>
    <row r="5">
      <c r="A5" s="4" t="inlineStr">
        <is>
          <t>HFFI Score</t>
        </is>
      </c>
      <c r="B5" s="2" t="inlineStr">
        <is>
          <t>45.2 / 100</t>
        </is>
      </c>
      <c r="C5" s="5" t="inlineStr">
        <is>
          <t>0–100 composite fragility index</t>
        </is>
      </c>
    </row>
    <row r="6">
      <c r="A6" s="4" t="inlineStr">
        <is>
          <t>Risk Band</t>
        </is>
      </c>
      <c r="B6" s="6" t="inlineStr">
        <is>
          <t>Moderate Fragility</t>
        </is>
      </c>
      <c r="C6" s="5" t="inlineStr">
        <is>
          <t>Stable / Moderate / High / Severe</t>
        </is>
      </c>
    </row>
    <row r="7">
      <c r="A7" s="4" t="inlineStr">
        <is>
          <t>12-month Distress Probability</t>
        </is>
      </c>
      <c r="B7" s="2" t="inlineStr">
        <is>
          <t>12.1%</t>
        </is>
      </c>
      <c r="C7" s="5" t="inlineStr">
        <is>
          <t>Calibrated logistic</t>
        </is>
      </c>
    </row>
    <row r="8">
      <c r="A8" s="4" t="inlineStr">
        <is>
          <t>Recommended Portfolio</t>
        </is>
      </c>
      <c r="B8" s="2" t="inlineStr">
        <is>
          <t>Growth</t>
        </is>
      </c>
      <c r="C8" s="5" t="inlineStr">
        <is>
          <t>HFFI-conditional best fit</t>
        </is>
      </c>
    </row>
    <row r="9">
      <c r="A9" s="4" t="inlineStr">
        <is>
          <t>Investment Horizon</t>
        </is>
      </c>
      <c r="B9" s="2" t="inlineStr">
        <is>
          <t>10 years</t>
        </is>
      </c>
      <c r="C9" s="5" t="inlineStr">
        <is>
          <t>User-selected</t>
        </is>
      </c>
    </row>
    <row r="10">
      <c r="A10" s="4" t="inlineStr">
        <is>
          <t>Initial Capital</t>
        </is>
      </c>
      <c r="B10" s="2" t="inlineStr">
        <is>
          <t>$11,400</t>
        </is>
      </c>
      <c r="C10" s="5" t="inlineStr"/>
    </row>
    <row r="11">
      <c r="A11" s="4" t="inlineStr">
        <is>
          <t>Monthly Contribution</t>
        </is>
      </c>
      <c r="B11" s="2" t="inlineStr">
        <is>
          <t>$1,050</t>
        </is>
      </c>
      <c r="C11" s="5" t="inlineStr"/>
    </row>
    <row r="12"/>
    <row r="13"/>
    <row r="14">
      <c r="A14" s="3" t="inlineStr">
        <is>
          <t>INVESTMENT OUTCOME PROJECTION</t>
        </is>
      </c>
    </row>
    <row r="15">
      <c r="A15" s="4" t="inlineStr">
        <is>
          <t>Expected return (annualized)</t>
        </is>
      </c>
      <c r="B15" s="2" t="inlineStr">
        <is>
          <t>10.0%</t>
        </is>
      </c>
    </row>
    <row r="16">
      <c r="A16" s="4" t="inlineStr">
        <is>
          <t>Volatility (annualized)</t>
        </is>
      </c>
      <c r="B16" s="2" t="inlineStr">
        <is>
          <t>20.0%</t>
        </is>
      </c>
    </row>
    <row r="17">
      <c r="A17" s="4" t="inlineStr">
        <is>
          <t>Median wealth at year 10</t>
        </is>
      </c>
      <c r="B17" s="2" t="inlineStr">
        <is>
          <t>$239,896</t>
        </is>
      </c>
    </row>
    <row r="18">
      <c r="A18" s="4" t="inlineStr">
        <is>
          <t>5th percentile (downside)</t>
        </is>
      </c>
      <c r="B18" s="2" t="inlineStr">
        <is>
          <t>$130,600</t>
        </is>
      </c>
    </row>
    <row r="19">
      <c r="A19" s="4" t="inlineStr">
        <is>
          <t>95th percentile (upside)</t>
        </is>
      </c>
      <c r="B19" s="2" t="inlineStr">
        <is>
          <t>$488,384</t>
        </is>
      </c>
    </row>
    <row r="20">
      <c r="A20" s="4" t="inlineStr">
        <is>
          <t>Expected (mean)</t>
        </is>
      </c>
      <c r="B20" s="2" t="inlineStr">
        <is>
          <t>$264,316</t>
        </is>
      </c>
    </row>
    <row r="21"/>
    <row r="22"/>
    <row r="23">
      <c r="A23" s="3" t="inlineStr">
        <is>
          <t>SUMMARY</t>
        </is>
      </c>
    </row>
    <row r="24" ht="20" customHeight="1">
      <c r="A24" s="7" t="inlineStr">
        <is>
          <t>With a Growth portfolio over 10 years, starting with $11,400 and contributing $1,050/month (growing 3%/yr), the median outcome is $239,896. The 5th-95th percentile band is $130,600–$488,384. Total contributed: $155,845; investment growth: $108,471.</t>
        </is>
      </c>
    </row>
    <row r="25"/>
    <row r="26"/>
    <row r="27"/>
  </sheetData>
  <mergeCells count="2">
    <mergeCell ref="A1:D1"/>
    <mergeCell ref="A24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20" customWidth="1" min="3" max="3"/>
    <col width="60" customWidth="1" min="4" max="4"/>
  </cols>
  <sheetData>
    <row r="1" ht="28" customHeight="1">
      <c r="A1" s="1" t="inlineStr">
        <is>
          <t>FRAGILITY COMPONENT BREAKDOWN</t>
        </is>
      </c>
    </row>
    <row r="2"/>
    <row r="3">
      <c r="A3" s="3" t="inlineStr">
        <is>
          <t>Component</t>
        </is>
      </c>
      <c r="B3" s="3" t="inlineStr">
        <is>
          <t>Value (0-1)</t>
        </is>
      </c>
      <c r="C3" s="3" t="inlineStr">
        <is>
          <t>Points contributed</t>
        </is>
      </c>
      <c r="D3" s="3" t="inlineStr">
        <is>
          <t>Interpretation</t>
        </is>
      </c>
    </row>
    <row r="4">
      <c r="A4" s="4" t="inlineStr">
        <is>
          <t>Liquidity (L)</t>
        </is>
      </c>
      <c r="B4" s="2" t="n">
        <v>0.619</v>
      </c>
      <c r="C4" s="2" t="n">
        <v>15.48</v>
      </c>
      <c r="D4" s="8" t="inlineStr">
        <is>
          <t>How many months of essentials savings cover. Higher = worse.</t>
        </is>
      </c>
    </row>
    <row r="5">
      <c r="A5" s="4" t="inlineStr">
        <is>
          <t>Debt (D)</t>
        </is>
      </c>
      <c r="B5" s="2" t="n">
        <v>0.152</v>
      </c>
      <c r="C5" s="2" t="n">
        <v>3.81</v>
      </c>
      <c r="D5" s="8" t="inlineStr">
        <is>
          <t>Combined debt-service ratio + leverage. Higher = worse.</t>
        </is>
      </c>
    </row>
    <row r="6">
      <c r="A6" s="4" t="inlineStr">
        <is>
          <t>Expenses (E)</t>
        </is>
      </c>
      <c r="B6" s="2" t="n">
        <v>0.779</v>
      </c>
      <c r="C6" s="2" t="n">
        <v>11.69</v>
      </c>
      <c r="D6" s="8" t="inlineStr">
        <is>
          <t>Share of essential spending. Higher = less buffer to cut.</t>
        </is>
      </c>
    </row>
    <row r="7">
      <c r="A7" s="4" t="inlineStr">
        <is>
          <t>Portfolio (P)</t>
        </is>
      </c>
      <c r="B7" s="2" t="n">
        <v>0.425</v>
      </c>
      <c r="C7" s="2" t="n">
        <v>8.5</v>
      </c>
      <c r="D7" s="8" t="inlineStr">
        <is>
          <t>Volatility + concentration + drawdown exposure.</t>
        </is>
      </c>
    </row>
    <row r="8">
      <c r="A8" s="4" t="inlineStr">
        <is>
          <t>Macro (M)</t>
        </is>
      </c>
      <c r="B8" s="2" t="n">
        <v>0.32</v>
      </c>
      <c r="C8" s="2" t="n">
        <v>4.8</v>
      </c>
      <c r="D8" s="8" t="inlineStr">
        <is>
          <t>Current macro regime stress weighted by your sensitivity.</t>
        </is>
      </c>
    </row>
    <row r="9">
      <c r="A9" s="4" t="inlineStr">
        <is>
          <t>Interaction (L×D)</t>
        </is>
      </c>
      <c r="B9" s="2" t="n">
        <v>0.094</v>
      </c>
      <c r="C9" s="2" t="n">
        <v>0.9399999999999999</v>
      </c>
      <c r="D9" s="8" t="inlineStr">
        <is>
          <t>Joint stress of low liquidity AND high debt — danger zone.</t>
        </is>
      </c>
    </row>
    <row r="10">
      <c r="A10" s="4" t="inlineStr">
        <is>
          <t>TOTAL HFFI SCORE</t>
        </is>
      </c>
      <c r="C10" s="9" t="n">
        <v>45.2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5" customWidth="1" min="4" max="4"/>
    <col width="16" customWidth="1" min="5" max="5"/>
    <col width="17" customWidth="1" min="6" max="6"/>
    <col width="28" customWidth="1" min="7" max="7"/>
  </cols>
  <sheetData>
    <row r="1" ht="28" customHeight="1">
      <c r="A1" s="1" t="inlineStr">
        <is>
          <t>INVESTMENT PLAN — 10 YEAR HORIZON</t>
        </is>
      </c>
    </row>
    <row r="2"/>
    <row r="3">
      <c r="A3" s="3" t="inlineStr">
        <is>
          <t>ASSUMPTIONS</t>
        </is>
      </c>
    </row>
    <row r="4">
      <c r="A4" s="4" t="inlineStr">
        <is>
          <t>Portfolio template</t>
        </is>
      </c>
      <c r="B4" s="10" t="inlineStr">
        <is>
          <t>Growth</t>
        </is>
      </c>
    </row>
    <row r="5">
      <c r="A5" s="4" t="inlineStr">
        <is>
          <t>Expected return</t>
        </is>
      </c>
      <c r="B5" s="11" t="n">
        <v>0.1</v>
      </c>
    </row>
    <row r="6">
      <c r="A6" s="4" t="inlineStr">
        <is>
          <t>Volatility</t>
        </is>
      </c>
      <c r="B6" s="11" t="n">
        <v>0.2</v>
      </c>
    </row>
    <row r="7">
      <c r="A7" s="4" t="inlineStr">
        <is>
          <t>Initial capital</t>
        </is>
      </c>
      <c r="B7" s="12" t="n">
        <v>11400</v>
      </c>
    </row>
    <row r="8">
      <c r="A8" s="4" t="inlineStr">
        <is>
          <t>Monthly contribution</t>
        </is>
      </c>
      <c r="B8" s="12" t="n">
        <v>1050</v>
      </c>
    </row>
    <row r="9">
      <c r="A9" s="4" t="inlineStr">
        <is>
          <t>Annual contribution growth</t>
        </is>
      </c>
      <c r="B9" s="11" t="n">
        <v>0.03</v>
      </c>
    </row>
    <row r="10">
      <c r="A10" s="4" t="inlineStr">
        <is>
          <t>Monte Carlo simulations</t>
        </is>
      </c>
      <c r="B10" s="10" t="n">
        <v>3000</v>
      </c>
    </row>
    <row r="11"/>
    <row r="12"/>
    <row r="13">
      <c r="A13" s="3" t="inlineStr">
        <is>
          <t>YEAR-BY-YEAR PROJECTION</t>
        </is>
      </c>
    </row>
    <row r="14">
      <c r="A14" s="3" t="inlineStr">
        <is>
          <t>Year</t>
        </is>
      </c>
      <c r="B14" s="3" t="inlineStr">
        <is>
          <t>Cumulative contributions</t>
        </is>
      </c>
      <c r="C14" s="3" t="inlineStr">
        <is>
          <t>5th percentile</t>
        </is>
      </c>
      <c r="D14" s="3" t="inlineStr">
        <is>
          <t>Median (50th)</t>
        </is>
      </c>
      <c r="E14" s="3" t="inlineStr">
        <is>
          <t>Expected value</t>
        </is>
      </c>
      <c r="F14" s="3" t="inlineStr">
        <is>
          <t>95th percentile</t>
        </is>
      </c>
      <c r="G14" s="3" t="inlineStr">
        <is>
          <t>Growth above contributions</t>
        </is>
      </c>
    </row>
    <row r="15">
      <c r="A15" t="n">
        <v>0</v>
      </c>
      <c r="B15" s="13" t="n">
        <v>11400</v>
      </c>
      <c r="C15" s="13" t="n">
        <v>11400</v>
      </c>
      <c r="D15" s="13" t="n">
        <v>11400</v>
      </c>
      <c r="E15" s="13" t="n">
        <v>11400</v>
      </c>
      <c r="F15" s="13" t="n">
        <v>11400</v>
      </c>
      <c r="G15" s="14" t="n">
        <v>0</v>
      </c>
    </row>
    <row r="16">
      <c r="A16" t="n">
        <v>1</v>
      </c>
      <c r="B16" s="13" t="n">
        <v>24000</v>
      </c>
      <c r="C16" s="13" t="n">
        <v>20145</v>
      </c>
      <c r="D16" s="13" t="n">
        <v>25367</v>
      </c>
      <c r="E16" s="13" t="n">
        <v>25770</v>
      </c>
      <c r="F16" s="13" t="n">
        <v>32589</v>
      </c>
      <c r="G16" s="14" t="n">
        <v>1770</v>
      </c>
    </row>
    <row r="17">
      <c r="A17" t="n">
        <v>2</v>
      </c>
      <c r="B17" s="13" t="n">
        <v>36978</v>
      </c>
      <c r="C17" s="13" t="n">
        <v>30187</v>
      </c>
      <c r="D17" s="13" t="n">
        <v>40704</v>
      </c>
      <c r="E17" s="13" t="n">
        <v>41713</v>
      </c>
      <c r="F17" s="13" t="n">
        <v>56748</v>
      </c>
      <c r="G17" s="14" t="n">
        <v>4735</v>
      </c>
    </row>
    <row r="18">
      <c r="A18" t="n">
        <v>3</v>
      </c>
      <c r="B18" s="13" t="n">
        <v>50345</v>
      </c>
      <c r="C18" s="13" t="n">
        <v>40103</v>
      </c>
      <c r="D18" s="13" t="n">
        <v>58180</v>
      </c>
      <c r="E18" s="13" t="n">
        <v>59936</v>
      </c>
      <c r="F18" s="13" t="n">
        <v>85647</v>
      </c>
      <c r="G18" s="14" t="n">
        <v>9590</v>
      </c>
    </row>
    <row r="19">
      <c r="A19" t="n">
        <v>4</v>
      </c>
      <c r="B19" s="13" t="n">
        <v>64114</v>
      </c>
      <c r="C19" s="13" t="n">
        <v>50895</v>
      </c>
      <c r="D19" s="13" t="n">
        <v>77598</v>
      </c>
      <c r="E19" s="13" t="n">
        <v>80582</v>
      </c>
      <c r="F19" s="13" t="n">
        <v>121050</v>
      </c>
      <c r="G19" s="14" t="n">
        <v>16468</v>
      </c>
    </row>
    <row r="20">
      <c r="A20" t="n">
        <v>5</v>
      </c>
      <c r="B20" s="13" t="n">
        <v>78295</v>
      </c>
      <c r="C20" s="13" t="n">
        <v>61877</v>
      </c>
      <c r="D20" s="13" t="n">
        <v>98172</v>
      </c>
      <c r="E20" s="13" t="n">
        <v>102631</v>
      </c>
      <c r="F20" s="13" t="n">
        <v>163388</v>
      </c>
      <c r="G20" s="14" t="n">
        <v>24336</v>
      </c>
    </row>
    <row r="21">
      <c r="A21" t="n">
        <v>6</v>
      </c>
      <c r="B21" s="13" t="n">
        <v>92902</v>
      </c>
      <c r="C21" s="13" t="n">
        <v>74320</v>
      </c>
      <c r="D21" s="13" t="n">
        <v>121316</v>
      </c>
      <c r="E21" s="13" t="n">
        <v>128032</v>
      </c>
      <c r="F21" s="13" t="n">
        <v>205361</v>
      </c>
      <c r="G21" s="14" t="n">
        <v>35130</v>
      </c>
    </row>
    <row r="22">
      <c r="A22" t="n">
        <v>7</v>
      </c>
      <c r="B22" s="13" t="n">
        <v>107947</v>
      </c>
      <c r="C22" s="13" t="n">
        <v>85957</v>
      </c>
      <c r="D22" s="13" t="n">
        <v>147584</v>
      </c>
      <c r="E22" s="13" t="n">
        <v>157312</v>
      </c>
      <c r="F22" s="13" t="n">
        <v>258314</v>
      </c>
      <c r="G22" s="14" t="n">
        <v>49365</v>
      </c>
    </row>
    <row r="23">
      <c r="A23" t="n">
        <v>8</v>
      </c>
      <c r="B23" s="13" t="n">
        <v>123443</v>
      </c>
      <c r="C23" s="13" t="n">
        <v>98643</v>
      </c>
      <c r="D23" s="13" t="n">
        <v>174896</v>
      </c>
      <c r="E23" s="13" t="n">
        <v>189351</v>
      </c>
      <c r="F23" s="13" t="n">
        <v>330649</v>
      </c>
      <c r="G23" s="14" t="n">
        <v>65907</v>
      </c>
    </row>
    <row r="24">
      <c r="A24" t="n">
        <v>9</v>
      </c>
      <c r="B24" s="13" t="n">
        <v>139405</v>
      </c>
      <c r="C24" s="13" t="n">
        <v>111978</v>
      </c>
      <c r="D24" s="13" t="n">
        <v>208186</v>
      </c>
      <c r="E24" s="13" t="n">
        <v>225229</v>
      </c>
      <c r="F24" s="13" t="n">
        <v>411700</v>
      </c>
      <c r="G24" s="14" t="n">
        <v>85824</v>
      </c>
    </row>
    <row r="25">
      <c r="A25" t="n">
        <v>10</v>
      </c>
      <c r="B25" s="13" t="n">
        <v>155845</v>
      </c>
      <c r="C25" s="13" t="n">
        <v>130600</v>
      </c>
      <c r="D25" s="13" t="n">
        <v>239896</v>
      </c>
      <c r="E25" s="13" t="n">
        <v>264316</v>
      </c>
      <c r="F25" s="13" t="n">
        <v>488384</v>
      </c>
      <c r="G25" s="14" t="n">
        <v>108471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 ht="28" customHeight="1">
      <c r="A1" s="1" t="inlineStr">
        <is>
          <t>ALL PORTFOLIOS — SIDE BY SIDE</t>
        </is>
      </c>
    </row>
    <row r="2"/>
    <row r="3">
      <c r="A3" s="3" t="inlineStr">
        <is>
          <t>portfolio</t>
        </is>
      </c>
      <c r="B3" s="3" t="inlineStr">
        <is>
          <t>expected_return</t>
        </is>
      </c>
      <c r="C3" s="3" t="inlineStr">
        <is>
          <t>volatility</t>
        </is>
      </c>
      <c r="D3" s="3" t="inlineStr">
        <is>
          <t>median_value_y10</t>
        </is>
      </c>
      <c r="E3" s="3" t="inlineStr">
        <is>
          <t>5th_pctile_value_y10</t>
        </is>
      </c>
      <c r="F3" s="3" t="inlineStr">
        <is>
          <t>95th_pctile_value_y10</t>
        </is>
      </c>
      <c r="G3" s="3" t="inlineStr">
        <is>
          <t>expected_value</t>
        </is>
      </c>
    </row>
    <row r="4">
      <c r="A4" t="inlineStr">
        <is>
          <t>Conservative</t>
        </is>
      </c>
      <c r="B4" s="15" t="n">
        <v>0.05</v>
      </c>
      <c r="C4" s="15" t="n">
        <v>0.08</v>
      </c>
      <c r="D4" s="13" t="n">
        <v>199443</v>
      </c>
      <c r="E4" s="13" t="n">
        <v>155693</v>
      </c>
      <c r="F4" s="13" t="n">
        <v>256034</v>
      </c>
      <c r="G4" s="13" t="n">
        <v>201846</v>
      </c>
    </row>
    <row r="5">
      <c r="A5" t="inlineStr">
        <is>
          <t>Balanced</t>
        </is>
      </c>
      <c r="B5" s="15" t="n">
        <v>0.07000000000000001</v>
      </c>
      <c r="C5" s="15" t="n">
        <v>0.13</v>
      </c>
      <c r="D5" s="13" t="n">
        <v>216413</v>
      </c>
      <c r="E5" s="13" t="n">
        <v>145025</v>
      </c>
      <c r="F5" s="13" t="n">
        <v>329990</v>
      </c>
      <c r="G5" s="13" t="n">
        <v>224218</v>
      </c>
    </row>
    <row r="6">
      <c r="A6" t="inlineStr">
        <is>
          <t>Growth</t>
        </is>
      </c>
      <c r="B6" s="15" t="n">
        <v>0.1</v>
      </c>
      <c r="C6" s="15" t="n">
        <v>0.2</v>
      </c>
      <c r="D6" s="13" t="n">
        <v>240792</v>
      </c>
      <c r="E6" s="13" t="n">
        <v>129287</v>
      </c>
      <c r="F6" s="13" t="n">
        <v>473533</v>
      </c>
      <c r="G6" s="13" t="n">
        <v>262936</v>
      </c>
    </row>
    <row r="7">
      <c r="A7" t="inlineStr">
        <is>
          <t>Aggressive Growth</t>
        </is>
      </c>
      <c r="B7" s="15" t="n">
        <v>0.12</v>
      </c>
      <c r="C7" s="15" t="n">
        <v>0.25</v>
      </c>
      <c r="D7" s="13" t="n">
        <v>253962</v>
      </c>
      <c r="E7" s="13" t="n">
        <v>117371</v>
      </c>
      <c r="F7" s="13" t="n">
        <v>603026</v>
      </c>
      <c r="G7" s="13" t="n">
        <v>292548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  <col width="25" customWidth="1" min="3" max="3"/>
    <col width="21" customWidth="1" min="4" max="4"/>
    <col width="19" customWidth="1" min="5" max="5"/>
    <col width="13" customWidth="1" min="6" max="6"/>
    <col width="12" customWidth="1" min="7" max="7"/>
    <col width="70" customWidth="1" min="8" max="8"/>
  </cols>
  <sheetData>
    <row r="1" ht="28" customHeight="1">
      <c r="A1" s="1" t="inlineStr">
        <is>
          <t>RECOMMENDED ASSETS — BUY / HOLD / AVOID</t>
        </is>
      </c>
    </row>
    <row r="2"/>
    <row r="3">
      <c r="A3" s="3" t="inlineStr">
        <is>
          <t>Action</t>
        </is>
      </c>
      <c r="B3" s="3" t="inlineStr">
        <is>
          <t>Ticker</t>
        </is>
      </c>
      <c r="C3" s="3" t="inlineStr">
        <is>
          <t>Name</t>
        </is>
      </c>
      <c r="D3" s="3" t="inlineStr">
        <is>
          <t>Target Allocation %</t>
        </is>
      </c>
      <c r="E3" s="3" t="inlineStr">
        <is>
          <t>Suggested Horizon</t>
        </is>
      </c>
      <c r="F3" s="3" t="inlineStr">
        <is>
          <t>Suitability</t>
        </is>
      </c>
      <c r="G3" s="3" t="inlineStr">
        <is>
          <t>Confidence</t>
        </is>
      </c>
      <c r="H3" s="3" t="inlineStr">
        <is>
          <t>Rationale</t>
        </is>
      </c>
    </row>
    <row r="4">
      <c r="A4" s="16" t="inlineStr">
        <is>
          <t>BUY</t>
        </is>
      </c>
      <c r="B4" t="inlineStr">
        <is>
          <t>MSFT</t>
        </is>
      </c>
      <c r="C4" t="inlineStr">
        <is>
          <t>Microsoft</t>
        </is>
      </c>
      <c r="D4" s="17" t="n">
        <v>17.47</v>
      </c>
      <c r="E4" t="inlineStr">
        <is>
          <t>6-12 months</t>
        </is>
      </c>
      <c r="F4" t="n">
        <v>0.441</v>
      </c>
      <c r="G4" t="n">
        <v>0.101</v>
      </c>
      <c r="H4" s="18" t="inlineStr">
        <is>
          <t>Moderate fragility favors balanced risk-return assets. Microsoft is a moderate fit (suitability=+0.44).</t>
        </is>
      </c>
    </row>
    <row r="5">
      <c r="A5" s="16" t="inlineStr">
        <is>
          <t>BUY</t>
        </is>
      </c>
      <c r="B5" t="inlineStr">
        <is>
          <t>XLV</t>
        </is>
      </c>
      <c r="C5" t="inlineStr">
        <is>
          <t>Healthcare</t>
        </is>
      </c>
      <c r="D5" s="17" t="n">
        <v>14.72</v>
      </c>
      <c r="E5" t="inlineStr">
        <is>
          <t>6-12 months</t>
        </is>
      </c>
      <c r="F5" t="n">
        <v>0.702</v>
      </c>
      <c r="G5" t="n">
        <v>0.362</v>
      </c>
      <c r="H5" s="18" t="inlineStr">
        <is>
          <t>Moderate fragility favors balanced risk-return assets. Healthcare ranks as a strong fit (suitability=+0.70).</t>
        </is>
      </c>
    </row>
    <row r="6">
      <c r="A6" s="16" t="inlineStr">
        <is>
          <t>BUY</t>
        </is>
      </c>
      <c r="B6" t="inlineStr">
        <is>
          <t>TIP</t>
        </is>
      </c>
      <c r="C6" t="inlineStr">
        <is>
          <t>TIPS (inflation-linked)</t>
        </is>
      </c>
      <c r="D6" s="17" t="n">
        <v>14.09</v>
      </c>
      <c r="E6" t="inlineStr">
        <is>
          <t>6-12 months</t>
        </is>
      </c>
      <c r="F6" t="n">
        <v>0.505</v>
      </c>
      <c r="G6" t="n">
        <v>0.165</v>
      </c>
      <c r="H6" s="18" t="inlineStr">
        <is>
          <t>Moderate fragility favors balanced risk-return assets. TIPS (inflation-linked) ranks as a strong fit (suitability=+0.51).</t>
        </is>
      </c>
    </row>
    <row r="7">
      <c r="A7" s="16" t="inlineStr">
        <is>
          <t>BUY</t>
        </is>
      </c>
      <c r="B7" t="inlineStr">
        <is>
          <t>SPX</t>
        </is>
      </c>
      <c r="C7" t="inlineStr">
        <is>
          <t>S&amp;P 500</t>
        </is>
      </c>
      <c r="D7" s="17" t="n">
        <v>4.75</v>
      </c>
      <c r="E7" t="inlineStr">
        <is>
          <t>6-12 months</t>
        </is>
      </c>
      <c r="F7" t="n">
        <v>0.466</v>
      </c>
      <c r="G7" t="n">
        <v>0.126</v>
      </c>
      <c r="H7" s="18" t="inlineStr">
        <is>
          <t>Moderate fragility favors balanced risk-return assets. S&amp;P 500 is a moderate fit (suitability=+0.47).</t>
        </is>
      </c>
    </row>
    <row r="8">
      <c r="A8" s="19" t="inlineStr">
        <is>
          <t>HOLD</t>
        </is>
      </c>
      <c r="B8" t="inlineStr">
        <is>
          <t>AAPL</t>
        </is>
      </c>
      <c r="C8" t="inlineStr">
        <is>
          <t>Apple</t>
        </is>
      </c>
      <c r="D8" s="17" t="n">
        <v>11.92</v>
      </c>
      <c r="E8" t="inlineStr">
        <is>
          <t>1-3 months</t>
        </is>
      </c>
      <c r="F8" t="n">
        <v>0.301</v>
      </c>
      <c r="G8" t="n">
        <v>-0.039</v>
      </c>
      <c r="H8" s="18" t="inlineStr">
        <is>
          <t>Moderate fragility favors balanced risk-return assets. Apple is a moderate fit (suitability=+0.30).</t>
        </is>
      </c>
    </row>
    <row r="9">
      <c r="A9" s="19" t="inlineStr">
        <is>
          <t>HOLD</t>
        </is>
      </c>
      <c r="B9" t="inlineStr">
        <is>
          <t>NVDA</t>
        </is>
      </c>
      <c r="C9" t="inlineStr">
        <is>
          <t>NVIDIA</t>
        </is>
      </c>
      <c r="D9" s="17" t="n">
        <v>10.61</v>
      </c>
      <c r="E9" t="inlineStr">
        <is>
          <t>1-3 months</t>
        </is>
      </c>
      <c r="F9" t="n">
        <v>0.268</v>
      </c>
      <c r="G9" t="n">
        <v>-0.07199999999999999</v>
      </c>
      <c r="H9" s="18" t="inlineStr">
        <is>
          <t>Moderate fragility favors balanced risk-return assets. NVIDIA is a moderate fit (suitability=+0.27).</t>
        </is>
      </c>
    </row>
    <row r="10">
      <c r="A10" s="19" t="inlineStr">
        <is>
          <t>HOLD</t>
        </is>
      </c>
      <c r="B10" t="inlineStr">
        <is>
          <t>XLU</t>
        </is>
      </c>
      <c r="C10" t="inlineStr">
        <is>
          <t>Utilities</t>
        </is>
      </c>
      <c r="D10" s="17" t="n">
        <v>7.88</v>
      </c>
      <c r="E10" t="inlineStr">
        <is>
          <t>1-3 months</t>
        </is>
      </c>
      <c r="F10" t="n">
        <v>0.376</v>
      </c>
      <c r="G10" t="n">
        <v>0.036</v>
      </c>
      <c r="H10" s="18" t="inlineStr">
        <is>
          <t>Moderate fragility favors balanced risk-return assets. Utilities is a moderate fit (suitability=+0.38).</t>
        </is>
      </c>
    </row>
    <row r="11">
      <c r="A11" s="19" t="inlineStr">
        <is>
          <t>HOLD</t>
        </is>
      </c>
      <c r="B11" t="inlineStr">
        <is>
          <t>TLT</t>
        </is>
      </c>
      <c r="C11" t="inlineStr">
        <is>
          <t>20+ Year Treasuries</t>
        </is>
      </c>
      <c r="D11" s="17" t="n">
        <v>5.12</v>
      </c>
      <c r="E11" t="inlineStr">
        <is>
          <t>1-3 months</t>
        </is>
      </c>
      <c r="F11" t="n">
        <v>0.184</v>
      </c>
      <c r="G11" t="n">
        <v>-0.156</v>
      </c>
      <c r="H11" s="18" t="inlineStr">
        <is>
          <t>Moderate fragility favors balanced risk-return assets. 20+ Year Treasuries is a moderate fit (suitability=+0.18).</t>
        </is>
      </c>
    </row>
    <row r="12">
      <c r="A12" s="19" t="inlineStr">
        <is>
          <t>HOLD</t>
        </is>
      </c>
      <c r="B12" t="inlineStr">
        <is>
          <t>VIX</t>
        </is>
      </c>
      <c r="C12" t="inlineStr">
        <is>
          <t>Volatility Index</t>
        </is>
      </c>
      <c r="D12" s="17" t="n">
        <v>2.79</v>
      </c>
      <c r="E12" t="inlineStr">
        <is>
          <t>1-3 months</t>
        </is>
      </c>
      <c r="F12" t="n">
        <v>0.274</v>
      </c>
      <c r="G12" t="n">
        <v>-0.066</v>
      </c>
      <c r="H12" s="18" t="inlineStr">
        <is>
          <t>Moderate fragility favors balanced risk-return assets. Volatility Index is a moderate fit (suitability=+0.27).</t>
        </is>
      </c>
    </row>
    <row r="13">
      <c r="A13" s="19" t="inlineStr">
        <is>
          <t>HOLD</t>
        </is>
      </c>
      <c r="B13" t="inlineStr">
        <is>
          <t>SLV</t>
        </is>
      </c>
      <c r="C13" t="inlineStr">
        <is>
          <t>Silver (iShares)</t>
        </is>
      </c>
      <c r="D13" s="17" t="n">
        <v>2.49</v>
      </c>
      <c r="E13" t="inlineStr">
        <is>
          <t>1-3 months</t>
        </is>
      </c>
      <c r="F13" t="n">
        <v>0.399</v>
      </c>
      <c r="G13" t="n">
        <v>0.059</v>
      </c>
      <c r="H13" s="18" t="inlineStr">
        <is>
          <t>Moderate fragility favors balanced risk-return assets. Silver (iShares) is a moderate fit (suitability=+0.40).</t>
        </is>
      </c>
    </row>
    <row r="14">
      <c r="A14" s="19" t="inlineStr">
        <is>
          <t>HOLD</t>
        </is>
      </c>
      <c r="B14" t="inlineStr">
        <is>
          <t>IXIC</t>
        </is>
      </c>
      <c r="C14" t="inlineStr">
        <is>
          <t>Nasdaq Comp</t>
        </is>
      </c>
      <c r="D14" s="17" t="n">
        <v>2.46</v>
      </c>
      <c r="E14" t="inlineStr">
        <is>
          <t>1-3 months</t>
        </is>
      </c>
      <c r="F14" t="n">
        <v>0.241</v>
      </c>
      <c r="G14" t="n">
        <v>-0.099</v>
      </c>
      <c r="H14" s="18" t="inlineStr">
        <is>
          <t>Moderate fragility favors balanced risk-return assets. Nasdaq Comp is a moderate fit (suitability=+0.24).</t>
        </is>
      </c>
    </row>
    <row r="15">
      <c r="A15" s="19" t="inlineStr">
        <is>
          <t>HOLD</t>
        </is>
      </c>
      <c r="B15" t="inlineStr">
        <is>
          <t>XLK</t>
        </is>
      </c>
      <c r="C15" t="inlineStr">
        <is>
          <t>Technology</t>
        </is>
      </c>
      <c r="D15" s="17" t="n">
        <v>2.4</v>
      </c>
      <c r="E15" t="inlineStr">
        <is>
          <t>1-3 months</t>
        </is>
      </c>
      <c r="F15" t="n">
        <v>0.115</v>
      </c>
      <c r="G15" t="n">
        <v>-0.225</v>
      </c>
      <c r="H15" s="18" t="inlineStr">
        <is>
          <t>Moderate fragility favors balanced risk-return assets. Technology is a moderate fit (suitability=+0.11).</t>
        </is>
      </c>
    </row>
    <row r="16">
      <c r="A16" s="19" t="inlineStr">
        <is>
          <t>HOLD</t>
        </is>
      </c>
      <c r="B16" t="inlineStr">
        <is>
          <t>GLD</t>
        </is>
      </c>
      <c r="C16" t="inlineStr">
        <is>
          <t>Gold (SPDR)</t>
        </is>
      </c>
      <c r="D16" s="17" t="n">
        <v>1.65</v>
      </c>
      <c r="E16" t="inlineStr">
        <is>
          <t>1-3 months</t>
        </is>
      </c>
      <c r="F16" t="n">
        <v>0.265</v>
      </c>
      <c r="G16" t="n">
        <v>-0.075</v>
      </c>
      <c r="H16" s="18" t="inlineStr">
        <is>
          <t>Moderate fragility favors balanced risk-return assets. Gold (SPDR) is a moderate fit (suitability=+0.26).</t>
        </is>
      </c>
    </row>
    <row r="17">
      <c r="A17" s="19" t="inlineStr">
        <is>
          <t>HOLD</t>
        </is>
      </c>
      <c r="B17" t="inlineStr">
        <is>
          <t>DBC</t>
        </is>
      </c>
      <c r="C17" t="inlineStr">
        <is>
          <t>Broad Commodities</t>
        </is>
      </c>
      <c r="D17" s="17" t="n">
        <v>0.86</v>
      </c>
      <c r="E17" t="inlineStr">
        <is>
          <t>1-3 months</t>
        </is>
      </c>
      <c r="F17" t="n">
        <v>0.138</v>
      </c>
      <c r="G17" t="n">
        <v>-0.202</v>
      </c>
      <c r="H17" s="18" t="inlineStr">
        <is>
          <t>Moderate fragility favors balanced risk-return assets. Broad Commodities is a moderate fit (suitability=+0.14).</t>
        </is>
      </c>
    </row>
    <row r="18">
      <c r="A18" s="19" t="inlineStr">
        <is>
          <t>HOLD</t>
        </is>
      </c>
      <c r="B18" t="inlineStr">
        <is>
          <t>AGG</t>
        </is>
      </c>
      <c r="C18" t="inlineStr">
        <is>
          <t>US Aggregate Bonds</t>
        </is>
      </c>
      <c r="D18" s="17" t="n">
        <v>0.79</v>
      </c>
      <c r="E18" t="inlineStr">
        <is>
          <t>1-3 months</t>
        </is>
      </c>
      <c r="F18" t="n">
        <v>0.028</v>
      </c>
      <c r="G18" t="n">
        <v>-0.312</v>
      </c>
      <c r="H18" s="18" t="inlineStr">
        <is>
          <t>Moderate fragility favors balanced risk-return assets. US Aggregate Bonds is a moderate fit (suitability=+0.03).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20" customWidth="1" min="3" max="3"/>
    <col width="15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" customWidth="1" min="10" max="10"/>
  </cols>
  <sheetData>
    <row r="1" ht="28" customHeight="1">
      <c r="A1" s="1" t="inlineStr">
        <is>
          <t>STRESS-TEST RESULTS</t>
        </is>
      </c>
    </row>
    <row r="2"/>
    <row r="3">
      <c r="A3" s="3" t="inlineStr">
        <is>
          <t>scenario</t>
        </is>
      </c>
      <c r="B3" s="3" t="inlineStr">
        <is>
          <t>HFFI</t>
        </is>
      </c>
      <c r="C3" s="3" t="inlineStr">
        <is>
          <t>band</t>
        </is>
      </c>
      <c r="D3" s="3" t="inlineStr">
        <is>
          <t>distress_prob</t>
        </is>
      </c>
      <c r="E3" s="3" t="inlineStr">
        <is>
          <t>L</t>
        </is>
      </c>
      <c r="F3" s="3" t="inlineStr">
        <is>
          <t>D</t>
        </is>
      </c>
      <c r="G3" s="3" t="inlineStr">
        <is>
          <t>E</t>
        </is>
      </c>
      <c r="H3" s="3" t="inlineStr">
        <is>
          <t>P</t>
        </is>
      </c>
      <c r="I3" s="3" t="inlineStr">
        <is>
          <t>M</t>
        </is>
      </c>
    </row>
    <row r="4">
      <c r="A4" t="inlineStr">
        <is>
          <t>baseline</t>
        </is>
      </c>
      <c r="B4" t="n">
        <v>45.2</v>
      </c>
      <c r="C4" s="19" t="inlineStr">
        <is>
          <t>Moderate Fragility</t>
        </is>
      </c>
      <c r="D4" t="n">
        <v>0.121</v>
      </c>
      <c r="E4" t="n">
        <v>0.619</v>
      </c>
      <c r="F4" t="n">
        <v>0.152</v>
      </c>
      <c r="G4" t="n">
        <v>0.779</v>
      </c>
      <c r="H4" t="n">
        <v>0.425</v>
      </c>
      <c r="I4" t="n">
        <v>0.32</v>
      </c>
    </row>
    <row r="5">
      <c r="A5" t="inlineStr">
        <is>
          <t>mild_recession</t>
        </is>
      </c>
      <c r="B5" t="n">
        <v>52.3</v>
      </c>
      <c r="C5" s="19" t="inlineStr">
        <is>
          <t>Moderate Fragility</t>
        </is>
      </c>
      <c r="D5" t="n">
        <v>0.219</v>
      </c>
      <c r="E5" t="n">
        <v>0.619</v>
      </c>
      <c r="F5" t="n">
        <v>0.169</v>
      </c>
      <c r="G5" t="n">
        <v>0.779</v>
      </c>
      <c r="H5" t="n">
        <v>0.515</v>
      </c>
      <c r="I5" t="n">
        <v>0.638</v>
      </c>
    </row>
    <row r="6">
      <c r="A6" t="inlineStr">
        <is>
          <t>severe_recession</t>
        </is>
      </c>
      <c r="B6" t="n">
        <v>59.6</v>
      </c>
      <c r="C6" s="19" t="inlineStr">
        <is>
          <t>Moderate Fragility</t>
        </is>
      </c>
      <c r="D6" t="n">
        <v>0.369</v>
      </c>
      <c r="E6" t="n">
        <v>0.619</v>
      </c>
      <c r="F6" t="n">
        <v>0.203</v>
      </c>
      <c r="G6" t="n">
        <v>0.779</v>
      </c>
      <c r="H6" t="n">
        <v>0.605</v>
      </c>
      <c r="I6" t="n">
        <v>0.9350000000000001</v>
      </c>
    </row>
    <row r="7">
      <c r="A7" t="inlineStr">
        <is>
          <t>stagflation</t>
        </is>
      </c>
      <c r="B7" t="n">
        <v>56.4</v>
      </c>
      <c r="C7" s="19" t="inlineStr">
        <is>
          <t>Moderate Fragility</t>
        </is>
      </c>
      <c r="D7" t="n">
        <v>0.297</v>
      </c>
      <c r="E7" t="n">
        <v>0.619</v>
      </c>
      <c r="F7" t="n">
        <v>0.16</v>
      </c>
      <c r="G7" t="n">
        <v>0.779</v>
      </c>
      <c r="H7" t="n">
        <v>0.545</v>
      </c>
      <c r="I7" t="n">
        <v>0.889</v>
      </c>
    </row>
    <row r="8">
      <c r="A8" t="inlineStr">
        <is>
          <t>job_loss</t>
        </is>
      </c>
      <c r="B8" t="n">
        <v>71.7</v>
      </c>
      <c r="C8" s="20" t="inlineStr">
        <is>
          <t>High Fragility</t>
        </is>
      </c>
      <c r="D8" t="n">
        <v>0.661</v>
      </c>
      <c r="E8" t="n">
        <v>0.619</v>
      </c>
      <c r="F8" t="n">
        <v>1</v>
      </c>
      <c r="G8" t="n">
        <v>0.779</v>
      </c>
      <c r="H8" t="n">
        <v>0.425</v>
      </c>
      <c r="I8" t="n">
        <v>0.32</v>
      </c>
    </row>
    <row r="9">
      <c r="A9" t="inlineStr">
        <is>
          <t>rate_shock</t>
        </is>
      </c>
      <c r="B9" t="n">
        <v>49.2</v>
      </c>
      <c r="C9" s="19" t="inlineStr">
        <is>
          <t>Moderate Fragility</t>
        </is>
      </c>
      <c r="D9" t="n">
        <v>0.171</v>
      </c>
      <c r="E9" t="n">
        <v>0.619</v>
      </c>
      <c r="F9" t="n">
        <v>0.152</v>
      </c>
      <c r="G9" t="n">
        <v>0.779</v>
      </c>
      <c r="H9" t="n">
        <v>0.485</v>
      </c>
      <c r="I9" t="n">
        <v>0.508</v>
      </c>
    </row>
    <row r="10">
      <c r="A10" t="inlineStr">
        <is>
          <t>market_crash</t>
        </is>
      </c>
      <c r="B10" t="n">
        <v>48.8</v>
      </c>
      <c r="C10" s="19" t="inlineStr">
        <is>
          <t>Moderate Fragility</t>
        </is>
      </c>
      <c r="D10" t="n">
        <v>0.165</v>
      </c>
      <c r="E10" t="n">
        <v>0.619</v>
      </c>
      <c r="F10" t="n">
        <v>0.152</v>
      </c>
      <c r="G10" t="n">
        <v>0.779</v>
      </c>
      <c r="H10" t="n">
        <v>0.605</v>
      </c>
      <c r="I10" t="n">
        <v>0.32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49" customWidth="1" min="3" max="3"/>
    <col width="70" customWidth="1" min="4" max="4"/>
    <col width="61" customWidth="1" min="5" max="5"/>
  </cols>
  <sheetData>
    <row r="1" ht="28" customHeight="1">
      <c r="A1" s="1" t="inlineStr">
        <is>
          <t>RULE-BASED RECOMMENDATIONS</t>
        </is>
      </c>
    </row>
    <row r="2"/>
    <row r="3">
      <c r="A3" s="3" t="inlineStr">
        <is>
          <t>Priority</t>
        </is>
      </c>
      <c r="B3" s="3" t="inlineStr">
        <is>
          <t>Component</t>
        </is>
      </c>
      <c r="C3" s="3" t="inlineStr">
        <is>
          <t>Action</t>
        </is>
      </c>
      <c r="D3" s="3" t="inlineStr">
        <is>
          <t>Detail</t>
        </is>
      </c>
      <c r="E3" s="3" t="inlineStr">
        <is>
          <t>Expected Impact</t>
        </is>
      </c>
    </row>
    <row r="4">
      <c r="A4" t="n">
        <v>1</v>
      </c>
      <c r="B4" t="inlineStr">
        <is>
          <t>Liquidity</t>
        </is>
      </c>
      <c r="C4" s="4" t="inlineStr">
        <is>
          <t>Build a 3–6 month emergency fund as priority #1</t>
        </is>
      </c>
      <c r="D4" s="18" t="inlineStr">
        <is>
          <t>Liquid savings cover less than 2 months of essential expenses. Until this gap closes, every other shock compounds. Target: at least 3 months in a high-yield savings account before adding equity risk.</t>
        </is>
      </c>
      <c r="E4" s="18" t="inlineStr">
        <is>
          <t>Drops L by ~0.3–0.5; reduces overall HFFI by ~10–15 points.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</cols>
  <sheetData>
    <row r="1" ht="28" customHeight="1">
      <c r="A1" s="1" t="inlineStr">
        <is>
          <t>CURRENT MACRO INDICATORS</t>
        </is>
      </c>
    </row>
    <row r="2"/>
    <row r="3">
      <c r="A3" s="3" t="inlineStr">
        <is>
          <t>Indicator</t>
        </is>
      </c>
      <c r="B3" s="3" t="inlineStr">
        <is>
          <t>Value</t>
        </is>
      </c>
      <c r="C3" s="3" t="inlineStr">
        <is>
          <t>Notes</t>
        </is>
      </c>
    </row>
    <row r="4">
      <c r="A4" s="4" t="inlineStr">
        <is>
          <t>Inflation (CPI YoY)</t>
        </is>
      </c>
      <c r="B4" s="2" t="inlineStr">
        <is>
          <t>3.95%</t>
        </is>
      </c>
      <c r="C4" s="8" t="inlineStr">
        <is>
          <t>Headline CPI year-over-year</t>
        </is>
      </c>
    </row>
    <row r="5">
      <c r="A5" s="4" t="inlineStr">
        <is>
          <t>Federal Funds Rate</t>
        </is>
      </c>
      <c r="B5" s="2" t="inlineStr">
        <is>
          <t>3.64%</t>
        </is>
      </c>
      <c r="C5" s="8" t="inlineStr">
        <is>
          <t>Effective FFR</t>
        </is>
      </c>
    </row>
    <row r="6">
      <c r="A6" s="4" t="inlineStr">
        <is>
          <t>Unemployment Rate</t>
        </is>
      </c>
      <c r="B6" s="2" t="inlineStr">
        <is>
          <t>4.30%</t>
        </is>
      </c>
      <c r="C6" s="8" t="inlineStr">
        <is>
          <t>U3</t>
        </is>
      </c>
    </row>
    <row r="7">
      <c r="A7" s="4" t="inlineStr">
        <is>
          <t>30y Mortgage Rate</t>
        </is>
      </c>
      <c r="B7" s="2" t="inlineStr">
        <is>
          <t>6.37%</t>
        </is>
      </c>
      <c r="C7" s="8" t="inlineStr">
        <is>
          <t>Freddie Mac PMMS</t>
        </is>
      </c>
    </row>
    <row r="8">
      <c r="A8" s="4" t="inlineStr">
        <is>
          <t>10y Treasury Yield</t>
        </is>
      </c>
      <c r="B8" s="2" t="inlineStr">
        <is>
          <t>4.46%</t>
        </is>
      </c>
      <c r="C8" s="8" t="inlineStr"/>
    </row>
    <row r="9">
      <c r="A9" s="4" t="inlineStr">
        <is>
          <t>2y Treasury Yield</t>
        </is>
      </c>
      <c r="B9" s="2" t="inlineStr">
        <is>
          <t>4.00%</t>
        </is>
      </c>
      <c r="C9" s="8" t="inlineStr"/>
    </row>
    <row r="10">
      <c r="A10" s="4" t="inlineStr">
        <is>
          <t>Yield Curve Spread</t>
        </is>
      </c>
      <c r="B10" s="2" t="inlineStr">
        <is>
          <t>0.46%</t>
        </is>
      </c>
      <c r="C10" s="8" t="inlineStr">
        <is>
          <t>10y - 2y</t>
        </is>
      </c>
    </row>
    <row r="11">
      <c r="A11" s="4" t="inlineStr">
        <is>
          <t>VIX</t>
        </is>
      </c>
      <c r="B11" s="2" t="inlineStr">
        <is>
          <t>18.0</t>
        </is>
      </c>
      <c r="C11" s="8" t="inlineStr">
        <is>
          <t>Implied volatility (S&amp;P 500)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2026-05-13T23:48:55Z</dcterms:created>
  <dcterms:modified xsi:type="dcterms:W3CDTF">2026-05-13T23:48:55Z</dcterms:modified>
</cp:coreProperties>
</file>