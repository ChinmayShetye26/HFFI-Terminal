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onent Breakdown" sheetId="2" state="visible" r:id="rId2"/>
    <sheet name="Investment Plan" sheetId="3" state="visible" r:id="rId3"/>
    <sheet name="Portfolio Comparison" sheetId="4" state="visible" r:id="rId4"/>
    <sheet name="Trade Signals" sheetId="5" state="visible" r:id="rId5"/>
    <sheet name="Stress Scenarios" sheetId="6" state="visible" r:id="rId6"/>
    <sheet name="Recommendations" sheetId="7" state="visible" r:id="rId7"/>
    <sheet name="Macro Snapsho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;($#,##0)"/>
    <numFmt numFmtId="167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Fragility component contributions to HFFI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'Component Breakdown'!C3</f>
            </strRef>
          </tx>
          <spPr>
            <a:ln>
              <a:prstDash val="solid"/>
            </a:ln>
          </spPr>
          <cat>
            <numRef>
              <f>'Component Breakdown'!$A$4:$A$9</f>
            </numRef>
          </cat>
          <val>
            <numRef>
              <f>'Component Breakdown'!$C$4:$C$9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Points contributed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Growth portfolio — wealth projection</a:t>
            </a:r>
          </a:p>
        </rich>
      </tx>
    </title>
    <plotArea>
      <lineChart>
        <grouping val="standard"/>
        <ser>
          <idx val="0"/>
          <order val="0"/>
          <tx>
            <strRef>
              <f>'Investment Plan'!C14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Plan'!$A$15:$A$45</f>
            </numRef>
          </cat>
          <val>
            <numRef>
              <f>'Investment Plan'!$C$15:$C$45</f>
            </numRef>
          </val>
        </ser>
        <ser>
          <idx val="1"/>
          <order val="1"/>
          <tx>
            <strRef>
              <f>'Investment Plan'!D14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Plan'!$A$15:$A$45</f>
            </numRef>
          </cat>
          <val>
            <numRef>
              <f>'Investment Plan'!$D$15:$D$45</f>
            </numRef>
          </val>
        </ser>
        <ser>
          <idx val="2"/>
          <order val="2"/>
          <tx>
            <strRef>
              <f>'Investment Plan'!E14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Plan'!$A$15:$A$45</f>
            </numRef>
          </cat>
          <val>
            <numRef>
              <f>'Investment Plan'!$E$15:$E$45</f>
            </numRef>
          </val>
        </ser>
        <ser>
          <idx val="3"/>
          <order val="3"/>
          <tx>
            <strRef>
              <f>'Investment Plan'!F14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Plan'!$A$15:$A$45</f>
            </numRef>
          </cat>
          <val>
            <numRef>
              <f>'Investment Plan'!$F$15:$F$45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35" customWidth="1" min="3" max="3"/>
    <col width="2" customWidth="1" min="4" max="4"/>
  </cols>
  <sheetData>
    <row r="1" ht="28" customHeight="1">
      <c r="A1" s="1" t="inlineStr">
        <is>
          <t>HFFI TERMINAL — INVESTMENT REPORT</t>
        </is>
      </c>
    </row>
    <row r="2">
      <c r="A2" s="2" t="inlineStr">
        <is>
          <t>Generated: 2026-05-06 22:08</t>
        </is>
      </c>
    </row>
    <row r="3"/>
    <row r="4">
      <c r="A4" s="3" t="inlineStr">
        <is>
          <t>HEADLINE FRAGILITY METRICS</t>
        </is>
      </c>
    </row>
    <row r="5">
      <c r="A5" s="4" t="inlineStr">
        <is>
          <t>HFFI Score</t>
        </is>
      </c>
      <c r="B5" s="2" t="inlineStr">
        <is>
          <t>18.0 / 100</t>
        </is>
      </c>
      <c r="C5" s="5" t="inlineStr">
        <is>
          <t>0–100 composite fragility index</t>
        </is>
      </c>
    </row>
    <row r="6">
      <c r="A6" s="4" t="inlineStr">
        <is>
          <t>Risk Band</t>
        </is>
      </c>
      <c r="B6" s="6" t="inlineStr">
        <is>
          <t>Stable</t>
        </is>
      </c>
      <c r="C6" s="5" t="inlineStr">
        <is>
          <t>Stable / Moderate / High / Severe</t>
        </is>
      </c>
    </row>
    <row r="7">
      <c r="A7" s="4" t="inlineStr">
        <is>
          <t>12-month Distress Probability</t>
        </is>
      </c>
      <c r="B7" s="2" t="inlineStr">
        <is>
          <t>0.9%</t>
        </is>
      </c>
      <c r="C7" s="5" t="inlineStr">
        <is>
          <t>Calibrated logistic</t>
        </is>
      </c>
    </row>
    <row r="8">
      <c r="A8" s="4" t="inlineStr">
        <is>
          <t>Recommended Portfolio</t>
        </is>
      </c>
      <c r="B8" s="2" t="inlineStr">
        <is>
          <t>Growth</t>
        </is>
      </c>
      <c r="C8" s="5" t="inlineStr">
        <is>
          <t>HFFI-conditional best fit</t>
        </is>
      </c>
    </row>
    <row r="9">
      <c r="A9" s="4" t="inlineStr">
        <is>
          <t>Investment Horizon</t>
        </is>
      </c>
      <c r="B9" s="2" t="inlineStr">
        <is>
          <t>30 years</t>
        </is>
      </c>
      <c r="C9" s="5" t="inlineStr">
        <is>
          <t>User-selected</t>
        </is>
      </c>
    </row>
    <row r="10">
      <c r="A10" s="4" t="inlineStr">
        <is>
          <t>Initial Capital</t>
        </is>
      </c>
      <c r="B10" s="2" t="inlineStr">
        <is>
          <t>$25,000</t>
        </is>
      </c>
      <c r="C10" s="5" t="inlineStr"/>
    </row>
    <row r="11">
      <c r="A11" s="4" t="inlineStr">
        <is>
          <t>Monthly Contribution</t>
        </is>
      </c>
      <c r="B11" s="2" t="inlineStr">
        <is>
          <t>$10</t>
        </is>
      </c>
      <c r="C11" s="5" t="inlineStr"/>
    </row>
    <row r="12"/>
    <row r="13"/>
    <row r="14">
      <c r="A14" s="3" t="inlineStr">
        <is>
          <t>INVESTMENT OUTCOME PROJECTION</t>
        </is>
      </c>
    </row>
    <row r="15">
      <c r="A15" s="4" t="inlineStr">
        <is>
          <t>Expected return (annualized)</t>
        </is>
      </c>
      <c r="B15" s="2" t="inlineStr">
        <is>
          <t>10.0%</t>
        </is>
      </c>
    </row>
    <row r="16">
      <c r="A16" s="4" t="inlineStr">
        <is>
          <t>Volatility (annualized)</t>
        </is>
      </c>
      <c r="B16" s="2" t="inlineStr">
        <is>
          <t>20.0%</t>
        </is>
      </c>
    </row>
    <row r="17">
      <c r="A17" s="4" t="inlineStr">
        <is>
          <t>Median wealth at year 30</t>
        </is>
      </c>
      <c r="B17" s="2" t="inlineStr">
        <is>
          <t>$259,485</t>
        </is>
      </c>
    </row>
    <row r="18">
      <c r="A18" s="4" t="inlineStr">
        <is>
          <t>5th percentile (downside)</t>
        </is>
      </c>
      <c r="B18" s="2" t="inlineStr">
        <is>
          <t>$51,112</t>
        </is>
      </c>
    </row>
    <row r="19">
      <c r="A19" s="4" t="inlineStr">
        <is>
          <t>95th percentile (upside)</t>
        </is>
      </c>
      <c r="B19" s="2" t="inlineStr">
        <is>
          <t>$1,451,869</t>
        </is>
      </c>
    </row>
    <row r="20">
      <c r="A20" s="4" t="inlineStr">
        <is>
          <t>Expected (mean)</t>
        </is>
      </c>
      <c r="B20" s="2" t="inlineStr">
        <is>
          <t>$466,520</t>
        </is>
      </c>
    </row>
    <row r="21"/>
    <row r="22"/>
    <row r="23">
      <c r="A23" s="3" t="inlineStr">
        <is>
          <t>SUMMARY</t>
        </is>
      </c>
    </row>
    <row r="24" ht="20" customHeight="1">
      <c r="A24" s="7" t="inlineStr">
        <is>
          <t>With a Growth portfolio over 30 years, starting with $25,000 and contributing $10/month (growing 3%/yr), the median outcome is $259,485. The 5th-95th percentile band is $51,112–$1,451,869. Total contributed: $30,709; investment growth: $435,811.</t>
        </is>
      </c>
    </row>
    <row r="25"/>
    <row r="26"/>
    <row r="27"/>
  </sheetData>
  <mergeCells count="2">
    <mergeCell ref="A1:D1"/>
    <mergeCell ref="A24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20" customWidth="1" min="3" max="3"/>
    <col width="60" customWidth="1" min="4" max="4"/>
  </cols>
  <sheetData>
    <row r="1" ht="28" customHeight="1">
      <c r="A1" s="1" t="inlineStr">
        <is>
          <t>FRAGILITY COMPONENT BREAKDOWN</t>
        </is>
      </c>
    </row>
    <row r="2"/>
    <row r="3">
      <c r="A3" s="3" t="inlineStr">
        <is>
          <t>Component</t>
        </is>
      </c>
      <c r="B3" s="3" t="inlineStr">
        <is>
          <t>Value (0-1)</t>
        </is>
      </c>
      <c r="C3" s="3" t="inlineStr">
        <is>
          <t>Points contributed</t>
        </is>
      </c>
      <c r="D3" s="3" t="inlineStr">
        <is>
          <t>Interpretation</t>
        </is>
      </c>
    </row>
    <row r="4">
      <c r="A4" s="4" t="inlineStr">
        <is>
          <t>Liquidity (L)</t>
        </is>
      </c>
      <c r="B4" s="2" t="n">
        <v>0</v>
      </c>
      <c r="C4" s="2" t="n">
        <v>0</v>
      </c>
      <c r="D4" s="8" t="inlineStr">
        <is>
          <t>How many months of essentials savings cover. Higher = worse.</t>
        </is>
      </c>
    </row>
    <row r="5">
      <c r="A5" s="4" t="inlineStr">
        <is>
          <t>Debt (D)</t>
        </is>
      </c>
      <c r="B5" s="2" t="n">
        <v>0.049</v>
      </c>
      <c r="C5" s="2" t="n">
        <v>1.21</v>
      </c>
      <c r="D5" s="8" t="inlineStr">
        <is>
          <t>Combined debt-service ratio + leverage. Higher = worse.</t>
        </is>
      </c>
    </row>
    <row r="6">
      <c r="A6" s="4" t="inlineStr">
        <is>
          <t>Expenses (E)</t>
        </is>
      </c>
      <c r="B6" s="2" t="n">
        <v>0.9</v>
      </c>
      <c r="C6" s="2" t="n">
        <v>13.5</v>
      </c>
      <c r="D6" s="8" t="inlineStr">
        <is>
          <t>Share of essential spending. Higher = less buffer to cut.</t>
        </is>
      </c>
    </row>
    <row r="7">
      <c r="A7" s="4" t="inlineStr">
        <is>
          <t>Portfolio (P)</t>
        </is>
      </c>
      <c r="B7" s="2" t="n">
        <v>0.057</v>
      </c>
      <c r="C7" s="2" t="n">
        <v>1.13</v>
      </c>
      <c r="D7" s="8" t="inlineStr">
        <is>
          <t>Volatility + concentration + drawdown exposure.</t>
        </is>
      </c>
    </row>
    <row r="8">
      <c r="A8" s="4" t="inlineStr">
        <is>
          <t>Macro (M)</t>
        </is>
      </c>
      <c r="B8" s="2" t="n">
        <v>0.141</v>
      </c>
      <c r="C8" s="2" t="n">
        <v>2.12</v>
      </c>
      <c r="D8" s="8" t="inlineStr">
        <is>
          <t>Current macro regime stress weighted by your sensitivity.</t>
        </is>
      </c>
    </row>
    <row r="9">
      <c r="A9" s="4" t="inlineStr">
        <is>
          <t>Interaction (L×D)</t>
        </is>
      </c>
      <c r="B9" s="2" t="n">
        <v>0</v>
      </c>
      <c r="C9" s="2" t="n">
        <v>0</v>
      </c>
      <c r="D9" s="8" t="inlineStr">
        <is>
          <t>Joint stress of low liquidity AND high debt — danger zone.</t>
        </is>
      </c>
    </row>
    <row r="10">
      <c r="A10" s="4" t="inlineStr">
        <is>
          <t>TOTAL HFFI SCORE</t>
        </is>
      </c>
      <c r="C10" s="9" t="n">
        <v>18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5" customWidth="1" min="4" max="4"/>
    <col width="16" customWidth="1" min="5" max="5"/>
    <col width="17" customWidth="1" min="6" max="6"/>
    <col width="28" customWidth="1" min="7" max="7"/>
  </cols>
  <sheetData>
    <row r="1" ht="28" customHeight="1">
      <c r="A1" s="1" t="inlineStr">
        <is>
          <t>INVESTMENT PLAN — 30 YEAR HORIZON</t>
        </is>
      </c>
    </row>
    <row r="2"/>
    <row r="3">
      <c r="A3" s="3" t="inlineStr">
        <is>
          <t>ASSUMPTIONS</t>
        </is>
      </c>
    </row>
    <row r="4">
      <c r="A4" s="4" t="inlineStr">
        <is>
          <t>Portfolio template</t>
        </is>
      </c>
      <c r="B4" s="10" t="inlineStr">
        <is>
          <t>Growth</t>
        </is>
      </c>
    </row>
    <row r="5">
      <c r="A5" s="4" t="inlineStr">
        <is>
          <t>Expected return</t>
        </is>
      </c>
      <c r="B5" s="11" t="n">
        <v>0.1</v>
      </c>
    </row>
    <row r="6">
      <c r="A6" s="4" t="inlineStr">
        <is>
          <t>Volatility</t>
        </is>
      </c>
      <c r="B6" s="11" t="n">
        <v>0.2</v>
      </c>
    </row>
    <row r="7">
      <c r="A7" s="4" t="inlineStr">
        <is>
          <t>Initial capital</t>
        </is>
      </c>
      <c r="B7" s="12" t="n">
        <v>25000</v>
      </c>
    </row>
    <row r="8">
      <c r="A8" s="4" t="inlineStr">
        <is>
          <t>Monthly contribution</t>
        </is>
      </c>
      <c r="B8" s="12" t="n">
        <v>10</v>
      </c>
    </row>
    <row r="9">
      <c r="A9" s="4" t="inlineStr">
        <is>
          <t>Annual contribution growth</t>
        </is>
      </c>
      <c r="B9" s="11" t="n">
        <v>0.03</v>
      </c>
    </row>
    <row r="10">
      <c r="A10" s="4" t="inlineStr">
        <is>
          <t>Monte Carlo simulations</t>
        </is>
      </c>
      <c r="B10" s="10" t="n">
        <v>5000</v>
      </c>
    </row>
    <row r="11"/>
    <row r="12"/>
    <row r="13">
      <c r="A13" s="3" t="inlineStr">
        <is>
          <t>YEAR-BY-YEAR PROJECTION</t>
        </is>
      </c>
    </row>
    <row r="14">
      <c r="A14" s="3" t="inlineStr">
        <is>
          <t>Year</t>
        </is>
      </c>
      <c r="B14" s="3" t="inlineStr">
        <is>
          <t>Cumulative contributions</t>
        </is>
      </c>
      <c r="C14" s="3" t="inlineStr">
        <is>
          <t>5th percentile</t>
        </is>
      </c>
      <c r="D14" s="3" t="inlineStr">
        <is>
          <t>Median (50th)</t>
        </is>
      </c>
      <c r="E14" s="3" t="inlineStr">
        <is>
          <t>Expected value</t>
        </is>
      </c>
      <c r="F14" s="3" t="inlineStr">
        <is>
          <t>95th percentile</t>
        </is>
      </c>
      <c r="G14" s="3" t="inlineStr">
        <is>
          <t>Growth above contributions</t>
        </is>
      </c>
    </row>
    <row r="15">
      <c r="A15" t="n">
        <v>0</v>
      </c>
      <c r="B15" s="13" t="n">
        <v>25000</v>
      </c>
      <c r="C15" s="13" t="n">
        <v>25000</v>
      </c>
      <c r="D15" s="13" t="n">
        <v>25000</v>
      </c>
      <c r="E15" s="13" t="n">
        <v>25000</v>
      </c>
      <c r="F15" s="13" t="n">
        <v>25000</v>
      </c>
      <c r="G15" s="14" t="n">
        <v>0</v>
      </c>
    </row>
    <row r="16">
      <c r="A16" t="n">
        <v>1</v>
      </c>
      <c r="B16" s="13" t="n">
        <v>25120</v>
      </c>
      <c r="C16" s="13" t="n">
        <v>19555</v>
      </c>
      <c r="D16" s="13" t="n">
        <v>27100</v>
      </c>
      <c r="E16" s="13" t="n">
        <v>27583</v>
      </c>
      <c r="F16" s="13" t="n">
        <v>37300</v>
      </c>
      <c r="G16" s="14" t="n">
        <v>2463</v>
      </c>
    </row>
    <row r="17">
      <c r="A17" t="n">
        <v>2</v>
      </c>
      <c r="B17" s="13" t="n">
        <v>25244</v>
      </c>
      <c r="C17" s="13" t="n">
        <v>18593</v>
      </c>
      <c r="D17" s="13" t="n">
        <v>29139</v>
      </c>
      <c r="E17" s="13" t="n">
        <v>30305</v>
      </c>
      <c r="F17" s="13" t="n">
        <v>45900</v>
      </c>
      <c r="G17" s="14" t="n">
        <v>5061</v>
      </c>
    </row>
    <row r="18">
      <c r="A18" t="n">
        <v>3</v>
      </c>
      <c r="B18" s="13" t="n">
        <v>25371</v>
      </c>
      <c r="C18" s="13" t="n">
        <v>18045</v>
      </c>
      <c r="D18" s="13" t="n">
        <v>31578</v>
      </c>
      <c r="E18" s="13" t="n">
        <v>33527</v>
      </c>
      <c r="F18" s="13" t="n">
        <v>55533</v>
      </c>
      <c r="G18" s="14" t="n">
        <v>8156</v>
      </c>
    </row>
    <row r="19">
      <c r="A19" t="n">
        <v>4</v>
      </c>
      <c r="B19" s="13" t="n">
        <v>25502</v>
      </c>
      <c r="C19" s="13" t="n">
        <v>17889</v>
      </c>
      <c r="D19" s="13" t="n">
        <v>34090</v>
      </c>
      <c r="E19" s="13" t="n">
        <v>36845</v>
      </c>
      <c r="F19" s="13" t="n">
        <v>65627</v>
      </c>
      <c r="G19" s="14" t="n">
        <v>11343</v>
      </c>
    </row>
    <row r="20">
      <c r="A20" t="n">
        <v>5</v>
      </c>
      <c r="B20" s="13" t="n">
        <v>25637</v>
      </c>
      <c r="C20" s="13" t="n">
        <v>18262</v>
      </c>
      <c r="D20" s="13" t="n">
        <v>36800</v>
      </c>
      <c r="E20" s="13" t="n">
        <v>40506</v>
      </c>
      <c r="F20" s="13" t="n">
        <v>75593</v>
      </c>
      <c r="G20" s="14" t="n">
        <v>14869</v>
      </c>
    </row>
    <row r="21">
      <c r="A21" t="n">
        <v>6</v>
      </c>
      <c r="B21" s="13" t="n">
        <v>25776</v>
      </c>
      <c r="C21" s="13" t="n">
        <v>18520</v>
      </c>
      <c r="D21" s="13" t="n">
        <v>39792</v>
      </c>
      <c r="E21" s="13" t="n">
        <v>44666</v>
      </c>
      <c r="F21" s="13" t="n">
        <v>87412</v>
      </c>
      <c r="G21" s="14" t="n">
        <v>18889</v>
      </c>
    </row>
    <row r="22">
      <c r="A22" t="n">
        <v>7</v>
      </c>
      <c r="B22" s="13" t="n">
        <v>25919</v>
      </c>
      <c r="C22" s="13" t="n">
        <v>18874</v>
      </c>
      <c r="D22" s="13" t="n">
        <v>43115</v>
      </c>
      <c r="E22" s="13" t="n">
        <v>49105</v>
      </c>
      <c r="F22" s="13" t="n">
        <v>100651</v>
      </c>
      <c r="G22" s="14" t="n">
        <v>23186</v>
      </c>
    </row>
    <row r="23">
      <c r="A23" t="n">
        <v>8</v>
      </c>
      <c r="B23" s="13" t="n">
        <v>26067</v>
      </c>
      <c r="C23" s="13" t="n">
        <v>19468</v>
      </c>
      <c r="D23" s="13" t="n">
        <v>46484</v>
      </c>
      <c r="E23" s="13" t="n">
        <v>54051</v>
      </c>
      <c r="F23" s="13" t="n">
        <v>112591</v>
      </c>
      <c r="G23" s="14" t="n">
        <v>27984</v>
      </c>
    </row>
    <row r="24">
      <c r="A24" t="n">
        <v>9</v>
      </c>
      <c r="B24" s="13" t="n">
        <v>26219</v>
      </c>
      <c r="C24" s="13" t="n">
        <v>19888</v>
      </c>
      <c r="D24" s="13" t="n">
        <v>50486</v>
      </c>
      <c r="E24" s="13" t="n">
        <v>60142</v>
      </c>
      <c r="F24" s="13" t="n">
        <v>134757</v>
      </c>
      <c r="G24" s="14" t="n">
        <v>33923</v>
      </c>
    </row>
    <row r="25">
      <c r="A25" t="n">
        <v>10</v>
      </c>
      <c r="B25" s="13" t="n">
        <v>26376</v>
      </c>
      <c r="C25" s="13" t="n">
        <v>20656</v>
      </c>
      <c r="D25" s="13" t="n">
        <v>54497</v>
      </c>
      <c r="E25" s="13" t="n">
        <v>66411</v>
      </c>
      <c r="F25" s="13" t="n">
        <v>151792</v>
      </c>
      <c r="G25" s="14" t="n">
        <v>40035</v>
      </c>
    </row>
    <row r="26">
      <c r="A26" t="n">
        <v>11</v>
      </c>
      <c r="B26" s="13" t="n">
        <v>26537</v>
      </c>
      <c r="C26" s="13" t="n">
        <v>21465</v>
      </c>
      <c r="D26" s="13" t="n">
        <v>59207</v>
      </c>
      <c r="E26" s="13" t="n">
        <v>73282</v>
      </c>
      <c r="F26" s="13" t="n">
        <v>173706</v>
      </c>
      <c r="G26" s="14" t="n">
        <v>46745</v>
      </c>
    </row>
    <row r="27">
      <c r="A27" t="n">
        <v>12</v>
      </c>
      <c r="B27" s="13" t="n">
        <v>26703</v>
      </c>
      <c r="C27" s="13" t="n">
        <v>22309</v>
      </c>
      <c r="D27" s="13" t="n">
        <v>64639</v>
      </c>
      <c r="E27" s="13" t="n">
        <v>80787</v>
      </c>
      <c r="F27" s="13" t="n">
        <v>195069</v>
      </c>
      <c r="G27" s="14" t="n">
        <v>54084</v>
      </c>
    </row>
    <row r="28">
      <c r="A28" t="n">
        <v>13</v>
      </c>
      <c r="B28" s="13" t="n">
        <v>26874</v>
      </c>
      <c r="C28" s="13" t="n">
        <v>22815</v>
      </c>
      <c r="D28" s="13" t="n">
        <v>69349</v>
      </c>
      <c r="E28" s="13" t="n">
        <v>89173</v>
      </c>
      <c r="F28" s="13" t="n">
        <v>221848</v>
      </c>
      <c r="G28" s="14" t="n">
        <v>62299</v>
      </c>
    </row>
    <row r="29">
      <c r="A29" t="n">
        <v>14</v>
      </c>
      <c r="B29" s="13" t="n">
        <v>27050</v>
      </c>
      <c r="C29" s="13" t="n">
        <v>24061</v>
      </c>
      <c r="D29" s="13" t="n">
        <v>75173</v>
      </c>
      <c r="E29" s="13" t="n">
        <v>97941</v>
      </c>
      <c r="F29" s="13" t="n">
        <v>240133</v>
      </c>
      <c r="G29" s="14" t="n">
        <v>70890</v>
      </c>
    </row>
    <row r="30">
      <c r="A30" t="n">
        <v>15</v>
      </c>
      <c r="B30" s="13" t="n">
        <v>27232</v>
      </c>
      <c r="C30" s="13" t="n">
        <v>24307</v>
      </c>
      <c r="D30" s="13" t="n">
        <v>81725</v>
      </c>
      <c r="E30" s="13" t="n">
        <v>107895</v>
      </c>
      <c r="F30" s="13" t="n">
        <v>277932</v>
      </c>
      <c r="G30" s="14" t="n">
        <v>80663</v>
      </c>
    </row>
    <row r="31">
      <c r="A31" t="n">
        <v>16</v>
      </c>
      <c r="B31" s="13" t="n">
        <v>27419</v>
      </c>
      <c r="C31" s="13" t="n">
        <v>26551</v>
      </c>
      <c r="D31" s="13" t="n">
        <v>89070</v>
      </c>
      <c r="E31" s="13" t="n">
        <v>118840</v>
      </c>
      <c r="F31" s="13" t="n">
        <v>313749</v>
      </c>
      <c r="G31" s="14" t="n">
        <v>91421</v>
      </c>
    </row>
    <row r="32">
      <c r="A32" t="n">
        <v>17</v>
      </c>
      <c r="B32" s="13" t="n">
        <v>27611</v>
      </c>
      <c r="C32" s="13" t="n">
        <v>26701</v>
      </c>
      <c r="D32" s="13" t="n">
        <v>95495</v>
      </c>
      <c r="E32" s="13" t="n">
        <v>131243</v>
      </c>
      <c r="F32" s="13" t="n">
        <v>354983</v>
      </c>
      <c r="G32" s="14" t="n">
        <v>103632</v>
      </c>
    </row>
    <row r="33">
      <c r="A33" t="n">
        <v>18</v>
      </c>
      <c r="B33" s="13" t="n">
        <v>27810</v>
      </c>
      <c r="C33" s="13" t="n">
        <v>28167</v>
      </c>
      <c r="D33" s="13" t="n">
        <v>103090</v>
      </c>
      <c r="E33" s="13" t="n">
        <v>144620</v>
      </c>
      <c r="F33" s="13" t="n">
        <v>400507</v>
      </c>
      <c r="G33" s="14" t="n">
        <v>116810</v>
      </c>
    </row>
    <row r="34">
      <c r="A34" t="n">
        <v>19</v>
      </c>
      <c r="B34" s="13" t="n">
        <v>28014</v>
      </c>
      <c r="C34" s="13" t="n">
        <v>29400</v>
      </c>
      <c r="D34" s="13" t="n">
        <v>110354</v>
      </c>
      <c r="E34" s="13" t="n">
        <v>159506</v>
      </c>
      <c r="F34" s="13" t="n">
        <v>443653</v>
      </c>
      <c r="G34" s="14" t="n">
        <v>131492</v>
      </c>
    </row>
    <row r="35">
      <c r="A35" t="n">
        <v>20</v>
      </c>
      <c r="B35" s="13" t="n">
        <v>28224</v>
      </c>
      <c r="C35" s="13" t="n">
        <v>31233</v>
      </c>
      <c r="D35" s="13" t="n">
        <v>119903</v>
      </c>
      <c r="E35" s="13" t="n">
        <v>175873</v>
      </c>
      <c r="F35" s="13" t="n">
        <v>499623</v>
      </c>
      <c r="G35" s="14" t="n">
        <v>147648</v>
      </c>
    </row>
    <row r="36">
      <c r="A36" t="n">
        <v>21</v>
      </c>
      <c r="B36" s="13" t="n">
        <v>28441</v>
      </c>
      <c r="C36" s="13" t="n">
        <v>31762</v>
      </c>
      <c r="D36" s="13" t="n">
        <v>130792</v>
      </c>
      <c r="E36" s="13" t="n">
        <v>196152</v>
      </c>
      <c r="F36" s="13" t="n">
        <v>575834</v>
      </c>
      <c r="G36" s="14" t="n">
        <v>167711</v>
      </c>
    </row>
    <row r="37">
      <c r="A37" t="n">
        <v>22</v>
      </c>
      <c r="B37" s="13" t="n">
        <v>28664</v>
      </c>
      <c r="C37" s="13" t="n">
        <v>34465</v>
      </c>
      <c r="D37" s="13" t="n">
        <v>139981</v>
      </c>
      <c r="E37" s="13" t="n">
        <v>214163</v>
      </c>
      <c r="F37" s="13" t="n">
        <v>637735</v>
      </c>
      <c r="G37" s="14" t="n">
        <v>185499</v>
      </c>
    </row>
    <row r="38">
      <c r="A38" t="n">
        <v>23</v>
      </c>
      <c r="B38" s="13" t="n">
        <v>28894</v>
      </c>
      <c r="C38" s="13" t="n">
        <v>36035</v>
      </c>
      <c r="D38" s="13" t="n">
        <v>152726</v>
      </c>
      <c r="E38" s="13" t="n">
        <v>236402</v>
      </c>
      <c r="F38" s="13" t="n">
        <v>702925</v>
      </c>
      <c r="G38" s="14" t="n">
        <v>207507</v>
      </c>
    </row>
    <row r="39">
      <c r="A39" t="n">
        <v>24</v>
      </c>
      <c r="B39" s="13" t="n">
        <v>29131</v>
      </c>
      <c r="C39" s="13" t="n">
        <v>38162</v>
      </c>
      <c r="D39" s="13" t="n">
        <v>164269</v>
      </c>
      <c r="E39" s="13" t="n">
        <v>260246</v>
      </c>
      <c r="F39" s="13" t="n">
        <v>787122</v>
      </c>
      <c r="G39" s="14" t="n">
        <v>231115</v>
      </c>
    </row>
    <row r="40">
      <c r="A40" t="n">
        <v>25</v>
      </c>
      <c r="B40" s="13" t="n">
        <v>29375</v>
      </c>
      <c r="C40" s="13" t="n">
        <v>39488</v>
      </c>
      <c r="D40" s="13" t="n">
        <v>175207</v>
      </c>
      <c r="E40" s="13" t="n">
        <v>285314</v>
      </c>
      <c r="F40" s="13" t="n">
        <v>873733</v>
      </c>
      <c r="G40" s="14" t="n">
        <v>255939</v>
      </c>
    </row>
    <row r="41">
      <c r="A41" t="n">
        <v>26</v>
      </c>
      <c r="B41" s="13" t="n">
        <v>29626</v>
      </c>
      <c r="C41" s="13" t="n">
        <v>41597</v>
      </c>
      <c r="D41" s="13" t="n">
        <v>190068</v>
      </c>
      <c r="E41" s="13" t="n">
        <v>315624</v>
      </c>
      <c r="F41" s="13" t="n">
        <v>991692</v>
      </c>
      <c r="G41" s="14" t="n">
        <v>285998</v>
      </c>
    </row>
    <row r="42">
      <c r="A42" t="n">
        <v>27</v>
      </c>
      <c r="B42" s="13" t="n">
        <v>29885</v>
      </c>
      <c r="C42" s="13" t="n">
        <v>43657</v>
      </c>
      <c r="D42" s="13" t="n">
        <v>204134</v>
      </c>
      <c r="E42" s="13" t="n">
        <v>350185</v>
      </c>
      <c r="F42" s="13" t="n">
        <v>1110793</v>
      </c>
      <c r="G42" s="14" t="n">
        <v>320299</v>
      </c>
    </row>
    <row r="43">
      <c r="A43" t="n">
        <v>28</v>
      </c>
      <c r="B43" s="13" t="n">
        <v>30152</v>
      </c>
      <c r="C43" s="13" t="n">
        <v>45807</v>
      </c>
      <c r="D43" s="13" t="n">
        <v>221649</v>
      </c>
      <c r="E43" s="13" t="n">
        <v>388526</v>
      </c>
      <c r="F43" s="13" t="n">
        <v>1225430</v>
      </c>
      <c r="G43" s="14" t="n">
        <v>358374</v>
      </c>
    </row>
    <row r="44">
      <c r="A44" t="n">
        <v>29</v>
      </c>
      <c r="B44" s="13" t="n">
        <v>30426</v>
      </c>
      <c r="C44" s="13" t="n">
        <v>47591</v>
      </c>
      <c r="D44" s="13" t="n">
        <v>242607</v>
      </c>
      <c r="E44" s="13" t="n">
        <v>427154</v>
      </c>
      <c r="F44" s="13" t="n">
        <v>1349580</v>
      </c>
      <c r="G44" s="14" t="n">
        <v>396728</v>
      </c>
    </row>
    <row r="45">
      <c r="A45" t="n">
        <v>30</v>
      </c>
      <c r="B45" s="13" t="n">
        <v>30709</v>
      </c>
      <c r="C45" s="13" t="n">
        <v>51112</v>
      </c>
      <c r="D45" s="13" t="n">
        <v>259485</v>
      </c>
      <c r="E45" s="13" t="n">
        <v>466520</v>
      </c>
      <c r="F45" s="13" t="n">
        <v>1451869</v>
      </c>
      <c r="G45" s="14" t="n">
        <v>435811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 ht="28" customHeight="1">
      <c r="A1" s="1" t="inlineStr">
        <is>
          <t>ALL PORTFOLIOS — SIDE BY SIDE</t>
        </is>
      </c>
    </row>
    <row r="2"/>
    <row r="3">
      <c r="A3" s="3" t="inlineStr">
        <is>
          <t>portfolio</t>
        </is>
      </c>
      <c r="B3" s="3" t="inlineStr">
        <is>
          <t>expected_return</t>
        </is>
      </c>
      <c r="C3" s="3" t="inlineStr">
        <is>
          <t>volatility</t>
        </is>
      </c>
      <c r="D3" s="3" t="inlineStr">
        <is>
          <t>median_value_y30</t>
        </is>
      </c>
      <c r="E3" s="3" t="inlineStr">
        <is>
          <t>5th_pctile_value_y30</t>
        </is>
      </c>
      <c r="F3" s="3" t="inlineStr">
        <is>
          <t>95th_pctile_value_y30</t>
        </is>
      </c>
      <c r="G3" s="3" t="inlineStr">
        <is>
          <t>expected_value</t>
        </is>
      </c>
    </row>
    <row r="4">
      <c r="A4" t="inlineStr">
        <is>
          <t>Conservative</t>
        </is>
      </c>
      <c r="B4" s="15" t="n">
        <v>0.05</v>
      </c>
      <c r="C4" s="15" t="n">
        <v>0.08</v>
      </c>
      <c r="D4" s="13" t="n">
        <v>109181</v>
      </c>
      <c r="E4" s="13" t="n">
        <v>57169</v>
      </c>
      <c r="F4" s="13" t="n">
        <v>215607</v>
      </c>
      <c r="G4" s="13" t="n">
        <v>120105</v>
      </c>
    </row>
    <row r="5">
      <c r="A5" t="inlineStr">
        <is>
          <t>Balanced</t>
        </is>
      </c>
      <c r="B5" s="15" t="n">
        <v>0.07000000000000001</v>
      </c>
      <c r="C5" s="15" t="n">
        <v>0.13</v>
      </c>
      <c r="D5" s="13" t="n">
        <v>162029</v>
      </c>
      <c r="E5" s="13" t="n">
        <v>56256</v>
      </c>
      <c r="F5" s="13" t="n">
        <v>491965</v>
      </c>
      <c r="G5" s="13" t="n">
        <v>207320</v>
      </c>
    </row>
    <row r="6">
      <c r="A6" t="inlineStr">
        <is>
          <t>Growth</t>
        </is>
      </c>
      <c r="B6" s="15" t="n">
        <v>0.1</v>
      </c>
      <c r="C6" s="15" t="n">
        <v>0.2</v>
      </c>
      <c r="D6" s="13" t="n">
        <v>259485</v>
      </c>
      <c r="E6" s="13" t="n">
        <v>51112</v>
      </c>
      <c r="F6" s="13" t="n">
        <v>1451869</v>
      </c>
      <c r="G6" s="13" t="n">
        <v>466520</v>
      </c>
    </row>
    <row r="7">
      <c r="A7" t="inlineStr">
        <is>
          <t>Aggressive Growth</t>
        </is>
      </c>
      <c r="B7" s="15" t="n">
        <v>0.12</v>
      </c>
      <c r="C7" s="15" t="n">
        <v>0.25</v>
      </c>
      <c r="D7" s="13" t="n">
        <v>317997</v>
      </c>
      <c r="E7" s="13" t="n">
        <v>42130</v>
      </c>
      <c r="F7" s="13" t="n">
        <v>2745405</v>
      </c>
      <c r="G7" s="13" t="n">
        <v>796168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  <col width="18" customWidth="1" min="3" max="3"/>
    <col width="21" customWidth="1" min="4" max="4"/>
    <col width="19" customWidth="1" min="5" max="5"/>
    <col width="13" customWidth="1" min="6" max="6"/>
    <col width="12" customWidth="1" min="7" max="7"/>
    <col width="70" customWidth="1" min="8" max="8"/>
  </cols>
  <sheetData>
    <row r="1" ht="28" customHeight="1">
      <c r="A1" s="1" t="inlineStr">
        <is>
          <t>RECOMMENDED ASSETS — BUY / HOLD / AVOID</t>
        </is>
      </c>
    </row>
    <row r="2"/>
    <row r="3">
      <c r="A3" s="3" t="inlineStr">
        <is>
          <t>Action</t>
        </is>
      </c>
      <c r="B3" s="3" t="inlineStr">
        <is>
          <t>Ticker</t>
        </is>
      </c>
      <c r="C3" s="3" t="inlineStr">
        <is>
          <t>Name</t>
        </is>
      </c>
      <c r="D3" s="3" t="inlineStr">
        <is>
          <t>Target Allocation %</t>
        </is>
      </c>
      <c r="E3" s="3" t="inlineStr">
        <is>
          <t>Suggested Horizon</t>
        </is>
      </c>
      <c r="F3" s="3" t="inlineStr">
        <is>
          <t>Suitability</t>
        </is>
      </c>
      <c r="G3" s="3" t="inlineStr">
        <is>
          <t>Confidence</t>
        </is>
      </c>
      <c r="H3" s="3" t="inlineStr">
        <is>
          <t>Rationale</t>
        </is>
      </c>
    </row>
    <row r="4">
      <c r="A4" s="16" t="inlineStr">
        <is>
          <t>BUY</t>
        </is>
      </c>
      <c r="B4" t="inlineStr">
        <is>
          <t>AGG</t>
        </is>
      </c>
      <c r="C4" t="inlineStr">
        <is>
          <t>Bonds</t>
        </is>
      </c>
      <c r="D4" s="17" t="n">
        <v>6.91</v>
      </c>
      <c r="E4" t="inlineStr">
        <is>
          <t>6-12 months</t>
        </is>
      </c>
      <c r="F4" t="n">
        <v>0.449</v>
      </c>
      <c r="G4" t="n">
        <v>0.016</v>
      </c>
      <c r="H4" s="18" t="inlineStr">
        <is>
          <t>Low fragility supports growth-oriented exposure. Bonds is a moderate fit (suitability=+0.45).</t>
        </is>
      </c>
    </row>
    <row r="5">
      <c r="A5" s="16" t="inlineStr">
        <is>
          <t>BUY</t>
        </is>
      </c>
      <c r="B5" t="inlineStr">
        <is>
          <t>TLT</t>
        </is>
      </c>
      <c r="C5" t="inlineStr">
        <is>
          <t>Long Treasuries</t>
        </is>
      </c>
      <c r="D5" s="17" t="n">
        <v>6.91</v>
      </c>
      <c r="E5" t="inlineStr">
        <is>
          <t>6-12 months</t>
        </is>
      </c>
      <c r="F5" t="n">
        <v>0.449</v>
      </c>
      <c r="G5" t="n">
        <v>0.016</v>
      </c>
      <c r="H5" s="18" t="inlineStr">
        <is>
          <t>Low fragility supports growth-oriented exposure. Long Treasuries is a moderate fit (suitability=+0.45).</t>
        </is>
      </c>
    </row>
    <row r="6">
      <c r="A6" s="16" t="inlineStr">
        <is>
          <t>BUY</t>
        </is>
      </c>
      <c r="B6" t="inlineStr">
        <is>
          <t>QQQ</t>
        </is>
      </c>
      <c r="C6" t="inlineStr">
        <is>
          <t>Tech</t>
        </is>
      </c>
      <c r="D6" s="17" t="n">
        <v>2.68</v>
      </c>
      <c r="E6" t="inlineStr">
        <is>
          <t>6-12 months</t>
        </is>
      </c>
      <c r="F6" t="n">
        <v>0.6860000000000001</v>
      </c>
      <c r="G6" t="n">
        <v>0.253</v>
      </c>
      <c r="H6" s="18" t="inlineStr">
        <is>
          <t>Low fragility supports growth-oriented exposure. Tech ranks as a strong fit (suitability=+0.69).</t>
        </is>
      </c>
    </row>
    <row r="7">
      <c r="A7" s="16" t="inlineStr">
        <is>
          <t>BUY</t>
        </is>
      </c>
      <c r="B7" t="inlineStr">
        <is>
          <t>VWO</t>
        </is>
      </c>
      <c r="C7" t="inlineStr">
        <is>
          <t>Emerging Markets</t>
        </is>
      </c>
      <c r="D7" s="17" t="n">
        <v>2.24</v>
      </c>
      <c r="E7" t="inlineStr">
        <is>
          <t>6-12 months</t>
        </is>
      </c>
      <c r="F7" t="n">
        <v>0.573</v>
      </c>
      <c r="G7" t="n">
        <v>0.141</v>
      </c>
      <c r="H7" s="18" t="inlineStr">
        <is>
          <t>Low fragility supports growth-oriented exposure. Emerging Markets ranks as a strong fit (suitability=+0.57).</t>
        </is>
      </c>
    </row>
    <row r="8">
      <c r="A8" s="16" t="inlineStr">
        <is>
          <t>BUY</t>
        </is>
      </c>
      <c r="B8" t="inlineStr">
        <is>
          <t>VEA</t>
        </is>
      </c>
      <c r="C8" t="inlineStr">
        <is>
          <t>Intl Developed</t>
        </is>
      </c>
      <c r="D8" s="17" t="n">
        <v>2.16</v>
      </c>
      <c r="E8" t="inlineStr">
        <is>
          <t>6-12 months</t>
        </is>
      </c>
      <c r="F8" t="n">
        <v>0.553</v>
      </c>
      <c r="G8" t="n">
        <v>0.12</v>
      </c>
      <c r="H8" s="18" t="inlineStr">
        <is>
          <t>Low fragility supports growth-oriented exposure. Intl Developed ranks as a strong fit (suitability=+0.55).</t>
        </is>
      </c>
    </row>
    <row r="9">
      <c r="A9" s="16" t="inlineStr">
        <is>
          <t>BUY</t>
        </is>
      </c>
      <c r="B9" t="inlineStr">
        <is>
          <t>SPY</t>
        </is>
      </c>
      <c r="C9" t="inlineStr">
        <is>
          <t>S&amp;P 500</t>
        </is>
      </c>
      <c r="D9" s="17" t="n">
        <v>1.94</v>
      </c>
      <c r="E9" t="inlineStr">
        <is>
          <t>6-12 months</t>
        </is>
      </c>
      <c r="F9" t="n">
        <v>0.498</v>
      </c>
      <c r="G9" t="n">
        <v>0.065</v>
      </c>
      <c r="H9" s="18" t="inlineStr">
        <is>
          <t>Low fragility supports growth-oriented exposure. S&amp;P 500 is a moderate fit (suitability=+0.50).</t>
        </is>
      </c>
    </row>
    <row r="10">
      <c r="A10" s="19" t="inlineStr">
        <is>
          <t>HOLD</t>
        </is>
      </c>
      <c r="B10" t="inlineStr">
        <is>
          <t>IEF</t>
        </is>
      </c>
      <c r="C10" t="inlineStr">
        <is>
          <t>Mid Treasuries</t>
        </is>
      </c>
      <c r="D10" s="17" t="n">
        <v>6.17</v>
      </c>
      <c r="E10" t="inlineStr">
        <is>
          <t>1-3 months</t>
        </is>
      </c>
      <c r="F10" t="n">
        <v>0.401</v>
      </c>
      <c r="G10" t="n">
        <v>-0.032</v>
      </c>
      <c r="H10" s="18" t="inlineStr">
        <is>
          <t>Low fragility supports growth-oriented exposure. Mid Treasuries is a moderate fit (suitability=+0.40).</t>
        </is>
      </c>
    </row>
    <row r="11">
      <c r="A11" s="19" t="inlineStr">
        <is>
          <t>HOLD</t>
        </is>
      </c>
      <c r="B11" t="inlineStr">
        <is>
          <t>GLD</t>
        </is>
      </c>
      <c r="C11" t="inlineStr">
        <is>
          <t>Gold</t>
        </is>
      </c>
      <c r="D11" s="17" t="n">
        <v>4.16</v>
      </c>
      <c r="E11" t="inlineStr">
        <is>
          <t>1-3 months</t>
        </is>
      </c>
      <c r="F11" t="n">
        <v>0.387</v>
      </c>
      <c r="G11" t="n">
        <v>-0.045</v>
      </c>
      <c r="H11" s="18" t="inlineStr">
        <is>
          <t>Low fragility supports growth-oriented exposure. Gold is a moderate fit (suitability=+0.39).</t>
        </is>
      </c>
    </row>
    <row r="12">
      <c r="A12" s="19" t="inlineStr">
        <is>
          <t>HOLD</t>
        </is>
      </c>
      <c r="B12" t="inlineStr">
        <is>
          <t>VYM</t>
        </is>
      </c>
      <c r="C12" t="inlineStr">
        <is>
          <t>Dividend</t>
        </is>
      </c>
      <c r="D12" s="17" t="n">
        <v>0.99</v>
      </c>
      <c r="E12" t="inlineStr">
        <is>
          <t>1-3 months</t>
        </is>
      </c>
      <c r="F12" t="n">
        <v>0.253</v>
      </c>
      <c r="G12" t="n">
        <v>-0.18</v>
      </c>
      <c r="H12" s="18" t="inlineStr">
        <is>
          <t>Low fragility supports growth-oriented exposure. Dividend is a moderate fit (suitability=+0.25).</t>
        </is>
      </c>
    </row>
    <row r="13">
      <c r="A13" s="19" t="inlineStr">
        <is>
          <t>HOLD</t>
        </is>
      </c>
      <c r="B13" t="inlineStr">
        <is>
          <t>DBC</t>
        </is>
      </c>
      <c r="C13" t="inlineStr">
        <is>
          <t>Commodities</t>
        </is>
      </c>
      <c r="D13" s="17" t="n">
        <v>0.84</v>
      </c>
      <c r="E13" t="inlineStr">
        <is>
          <t>1-3 months</t>
        </is>
      </c>
      <c r="F13" t="n">
        <v>0.078</v>
      </c>
      <c r="G13" t="n">
        <v>-0.355</v>
      </c>
      <c r="H13" s="18" t="inlineStr">
        <is>
          <t>Low fragility supports growth-oriented exposure. Commodities is a moderate fit (suitability=+0.08).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20" customWidth="1" min="3" max="3"/>
    <col width="15" customWidth="1" min="4" max="4"/>
    <col width="5" customWidth="1" min="5" max="5"/>
    <col width="7" customWidth="1" min="6" max="6"/>
    <col width="5" customWidth="1" min="7" max="7"/>
    <col width="7" customWidth="1" min="8" max="8"/>
    <col width="7" customWidth="1" min="9" max="9"/>
    <col width="2" customWidth="1" min="10" max="10"/>
  </cols>
  <sheetData>
    <row r="1" ht="28" customHeight="1">
      <c r="A1" s="1" t="inlineStr">
        <is>
          <t>STRESS-TEST RESULTS</t>
        </is>
      </c>
    </row>
    <row r="2"/>
    <row r="3">
      <c r="A3" s="3" t="inlineStr">
        <is>
          <t>scenario</t>
        </is>
      </c>
      <c r="B3" s="3" t="inlineStr">
        <is>
          <t>HFFI</t>
        </is>
      </c>
      <c r="C3" s="3" t="inlineStr">
        <is>
          <t>band</t>
        </is>
      </c>
      <c r="D3" s="3" t="inlineStr">
        <is>
          <t>distress_prob</t>
        </is>
      </c>
      <c r="E3" s="3" t="inlineStr">
        <is>
          <t>L</t>
        </is>
      </c>
      <c r="F3" s="3" t="inlineStr">
        <is>
          <t>D</t>
        </is>
      </c>
      <c r="G3" s="3" t="inlineStr">
        <is>
          <t>E</t>
        </is>
      </c>
      <c r="H3" s="3" t="inlineStr">
        <is>
          <t>P</t>
        </is>
      </c>
      <c r="I3" s="3" t="inlineStr">
        <is>
          <t>M</t>
        </is>
      </c>
    </row>
    <row r="4">
      <c r="A4" t="inlineStr">
        <is>
          <t>baseline</t>
        </is>
      </c>
      <c r="B4" t="n">
        <v>18</v>
      </c>
      <c r="C4" s="16" t="inlineStr">
        <is>
          <t>Stable</t>
        </is>
      </c>
      <c r="D4" t="n">
        <v>0.008999999999999999</v>
      </c>
      <c r="E4" t="n">
        <v>0</v>
      </c>
      <c r="F4" t="n">
        <v>0.049</v>
      </c>
      <c r="G4" t="n">
        <v>0.9</v>
      </c>
      <c r="H4" t="n">
        <v>0.057</v>
      </c>
      <c r="I4" t="n">
        <v>0.141</v>
      </c>
    </row>
    <row r="5">
      <c r="A5" t="inlineStr">
        <is>
          <t>mild_recession</t>
        </is>
      </c>
      <c r="B5" t="n">
        <v>23.6</v>
      </c>
      <c r="C5" s="16" t="inlineStr">
        <is>
          <t>Stable</t>
        </is>
      </c>
      <c r="D5" t="n">
        <v>0.016</v>
      </c>
      <c r="E5" t="n">
        <v>0</v>
      </c>
      <c r="F5" t="n">
        <v>0.054</v>
      </c>
      <c r="G5" t="n">
        <v>0.9</v>
      </c>
      <c r="H5" t="n">
        <v>0.147</v>
      </c>
      <c r="I5" t="n">
        <v>0.385</v>
      </c>
    </row>
    <row r="6">
      <c r="A6" t="inlineStr">
        <is>
          <t>severe_recession</t>
        </is>
      </c>
      <c r="B6" t="n">
        <v>31.4</v>
      </c>
      <c r="C6" s="19" t="inlineStr">
        <is>
          <t>Moderate Fragility</t>
        </is>
      </c>
      <c r="D6" t="n">
        <v>0.034</v>
      </c>
      <c r="E6" t="n">
        <v>0</v>
      </c>
      <c r="F6" t="n">
        <v>0.065</v>
      </c>
      <c r="G6" t="n">
        <v>0.9</v>
      </c>
      <c r="H6" t="n">
        <v>0.267</v>
      </c>
      <c r="I6" t="n">
        <v>0.73</v>
      </c>
    </row>
    <row r="7">
      <c r="A7" t="inlineStr">
        <is>
          <t>stagflation</t>
        </is>
      </c>
      <c r="B7" t="n">
        <v>27.9</v>
      </c>
      <c r="C7" s="16" t="inlineStr">
        <is>
          <t>Stable</t>
        </is>
      </c>
      <c r="D7" t="n">
        <v>0.024</v>
      </c>
      <c r="E7" t="n">
        <v>0</v>
      </c>
      <c r="F7" t="n">
        <v>0.051</v>
      </c>
      <c r="G7" t="n">
        <v>0.9</v>
      </c>
      <c r="H7" t="n">
        <v>0.177</v>
      </c>
      <c r="I7" t="n">
        <v>0.64</v>
      </c>
    </row>
    <row r="8">
      <c r="A8" t="inlineStr">
        <is>
          <t>job_loss</t>
        </is>
      </c>
      <c r="B8" t="n">
        <v>41.8</v>
      </c>
      <c r="C8" s="19" t="inlineStr">
        <is>
          <t>Moderate Fragility</t>
        </is>
      </c>
      <c r="D8" t="n">
        <v>0.089</v>
      </c>
      <c r="E8" t="n">
        <v>0</v>
      </c>
      <c r="F8" t="n">
        <v>1</v>
      </c>
      <c r="G8" t="n">
        <v>0.9</v>
      </c>
      <c r="H8" t="n">
        <v>0.057</v>
      </c>
      <c r="I8" t="n">
        <v>0.141</v>
      </c>
    </row>
    <row r="9">
      <c r="A9" t="inlineStr">
        <is>
          <t>rate_shock</t>
        </is>
      </c>
      <c r="B9" t="n">
        <v>20.2</v>
      </c>
      <c r="C9" s="16" t="inlineStr">
        <is>
          <t>Stable</t>
        </is>
      </c>
      <c r="D9" t="n">
        <v>0.011</v>
      </c>
      <c r="E9" t="n">
        <v>0</v>
      </c>
      <c r="F9" t="n">
        <v>0.049</v>
      </c>
      <c r="G9" t="n">
        <v>0.9</v>
      </c>
      <c r="H9" t="n">
        <v>0.117</v>
      </c>
      <c r="I9" t="n">
        <v>0.21</v>
      </c>
    </row>
    <row r="10">
      <c r="A10" t="inlineStr">
        <is>
          <t>market_crash</t>
        </is>
      </c>
      <c r="B10" t="n">
        <v>22.8</v>
      </c>
      <c r="C10" s="16" t="inlineStr">
        <is>
          <t>Stable</t>
        </is>
      </c>
      <c r="D10" t="n">
        <v>0.014</v>
      </c>
      <c r="E10" t="n">
        <v>0</v>
      </c>
      <c r="F10" t="n">
        <v>0.049</v>
      </c>
      <c r="G10" t="n">
        <v>0.9</v>
      </c>
      <c r="H10" t="n">
        <v>0.297</v>
      </c>
      <c r="I10" t="n">
        <v>0.141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69" customWidth="1" min="3" max="3"/>
    <col width="70" customWidth="1" min="4" max="4"/>
    <col width="35" customWidth="1" min="5" max="5"/>
  </cols>
  <sheetData>
    <row r="1" ht="28" customHeight="1">
      <c r="A1" s="1" t="inlineStr">
        <is>
          <t>RULE-BASED RECOMMENDATIONS</t>
        </is>
      </c>
    </row>
    <row r="2"/>
    <row r="3">
      <c r="A3" s="3" t="inlineStr">
        <is>
          <t>Priority</t>
        </is>
      </c>
      <c r="B3" s="3" t="inlineStr">
        <is>
          <t>Component</t>
        </is>
      </c>
      <c r="C3" s="3" t="inlineStr">
        <is>
          <t>Action</t>
        </is>
      </c>
      <c r="D3" s="3" t="inlineStr">
        <is>
          <t>Detail</t>
        </is>
      </c>
      <c r="E3" s="3" t="inlineStr">
        <is>
          <t>Expected Impact</t>
        </is>
      </c>
    </row>
    <row r="4">
      <c r="A4" t="n">
        <v>3</v>
      </c>
      <c r="B4" t="inlineStr">
        <is>
          <t>Expenses</t>
        </is>
      </c>
      <c r="C4" s="4" t="inlineStr">
        <is>
          <t>Find cuttable expenses — almost all spending is currently essential</t>
        </is>
      </c>
      <c r="D4" s="18" t="inlineStr">
        <is>
          <t>Over 85% of spending is essential, leaving no buffer to absorb shocks. Audit: subscription stacking, insurance comparison, renegotiable contracts (phone, internet, utilities). Even a 5pt drop in essential share buys flexibility.</t>
        </is>
      </c>
      <c r="E4" s="18" t="inlineStr">
        <is>
          <t>Each 5pt drop reduces E by ~0.05.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</cols>
  <sheetData>
    <row r="1" ht="28" customHeight="1">
      <c r="A1" s="1" t="inlineStr">
        <is>
          <t>CURRENT MACRO INDICATORS</t>
        </is>
      </c>
    </row>
    <row r="2"/>
    <row r="3">
      <c r="A3" s="3" t="inlineStr">
        <is>
          <t>Indicator</t>
        </is>
      </c>
      <c r="B3" s="3" t="inlineStr">
        <is>
          <t>Value</t>
        </is>
      </c>
      <c r="C3" s="3" t="inlineStr">
        <is>
          <t>Notes</t>
        </is>
      </c>
    </row>
    <row r="4">
      <c r="A4" s="4" t="inlineStr">
        <is>
          <t>Inflation (CPI YoY)</t>
        </is>
      </c>
      <c r="B4" s="2" t="inlineStr">
        <is>
          <t>3.20%</t>
        </is>
      </c>
      <c r="C4" s="8" t="inlineStr">
        <is>
          <t>Headline CPI year-over-year</t>
        </is>
      </c>
    </row>
    <row r="5">
      <c r="A5" s="4" t="inlineStr">
        <is>
          <t>Federal Funds Rate</t>
        </is>
      </c>
      <c r="B5" s="2" t="inlineStr">
        <is>
          <t>5.00%</t>
        </is>
      </c>
      <c r="C5" s="8" t="inlineStr">
        <is>
          <t>Effective FFR</t>
        </is>
      </c>
    </row>
    <row r="6">
      <c r="A6" s="4" t="inlineStr">
        <is>
          <t>Unemployment Rate</t>
        </is>
      </c>
      <c r="B6" s="2" t="inlineStr">
        <is>
          <t>3.80%</t>
        </is>
      </c>
      <c r="C6" s="8" t="inlineStr">
        <is>
          <t>U3</t>
        </is>
      </c>
    </row>
    <row r="7">
      <c r="A7" s="4" t="inlineStr">
        <is>
          <t>30y Mortgage Rate</t>
        </is>
      </c>
      <c r="B7" s="2" t="inlineStr">
        <is>
          <t>7.20%</t>
        </is>
      </c>
      <c r="C7" s="8" t="inlineStr">
        <is>
          <t>Freddie Mac PMMS</t>
        </is>
      </c>
    </row>
    <row r="8">
      <c r="A8" s="4" t="inlineStr">
        <is>
          <t>10y Treasury Yield</t>
        </is>
      </c>
      <c r="B8" s="2" t="inlineStr">
        <is>
          <t>4.40%</t>
        </is>
      </c>
      <c r="C8" s="8" t="inlineStr"/>
    </row>
    <row r="9">
      <c r="A9" s="4" t="inlineStr">
        <is>
          <t>2y Treasury Yield</t>
        </is>
      </c>
      <c r="B9" s="2" t="inlineStr">
        <is>
          <t>4.80%</t>
        </is>
      </c>
      <c r="C9" s="8" t="inlineStr"/>
    </row>
    <row r="10">
      <c r="A10" s="4" t="inlineStr">
        <is>
          <t>Yield Curve Spread</t>
        </is>
      </c>
      <c r="B10" s="2" t="inlineStr">
        <is>
          <t>-0.40%</t>
        </is>
      </c>
      <c r="C10" s="8" t="inlineStr">
        <is>
          <t>10y - 2y</t>
        </is>
      </c>
    </row>
    <row r="11">
      <c r="A11" s="4" t="inlineStr">
        <is>
          <t>VIX</t>
        </is>
      </c>
      <c r="B11" s="2" t="inlineStr">
        <is>
          <t>14.5</t>
        </is>
      </c>
      <c r="C11" s="8" t="inlineStr">
        <is>
          <t>Implied volatility (S&amp;P 500)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2026-05-07T02:08:23Z</dcterms:created>
  <dcterms:modified xsi:type="dcterms:W3CDTF">2026-05-07T02:08:23Z</dcterms:modified>
</cp:coreProperties>
</file>