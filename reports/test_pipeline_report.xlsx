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onent Breakdown" sheetId="2" state="visible" r:id="rId2"/>
    <sheet name="Investment Plan" sheetId="3" state="visible" r:id="rId3"/>
    <sheet name="Portfolio Comparison" sheetId="4" state="visible" r:id="rId4"/>
    <sheet name="Stress Scenarios" sheetId="5" state="visible" r:id="rId5"/>
    <sheet name="Recommendations" sheetId="6" state="visible" r:id="rId6"/>
    <sheet name="Macro Snapsh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;($#,##0)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Fragility component contributions to HFFI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'Component Breakdown'!C3</f>
            </strRef>
          </tx>
          <spPr>
            <a:ln>
              <a:prstDash val="solid"/>
            </a:ln>
          </spPr>
          <cat>
            <numRef>
              <f>'Component Breakdown'!$A$4:$A$9</f>
            </numRef>
          </cat>
          <val>
            <numRef>
              <f>'Component Breakdown'!$C$4:$C$9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 contributed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Balanced portfolio — wealth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Plan'!C14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Plan'!$C$15:$C$25</f>
            </numRef>
          </val>
        </ser>
        <ser>
          <idx val="1"/>
          <order val="1"/>
          <tx>
            <strRef>
              <f>'Investment Plan'!D14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Plan'!$D$15:$D$25</f>
            </numRef>
          </val>
        </ser>
        <ser>
          <idx val="2"/>
          <order val="2"/>
          <tx>
            <strRef>
              <f>'Investment Plan'!E14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Plan'!$E$15:$E$25</f>
            </numRef>
          </val>
        </ser>
        <ser>
          <idx val="3"/>
          <order val="3"/>
          <tx>
            <strRef>
              <f>'Investment Plan'!F14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Plan'!$F$15:$F$25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35" customWidth="1" min="3" max="3"/>
    <col width="2" customWidth="1" min="4" max="4"/>
  </cols>
  <sheetData>
    <row r="1" ht="28" customHeight="1">
      <c r="A1" s="1" t="inlineStr">
        <is>
          <t>HFFI TERMINAL — INVESTMENT REPORT</t>
        </is>
      </c>
    </row>
    <row r="2">
      <c r="A2" s="2" t="inlineStr">
        <is>
          <t>Generated: 2026-05-07 06:12</t>
        </is>
      </c>
    </row>
    <row r="3"/>
    <row r="4">
      <c r="A4" s="3" t="inlineStr">
        <is>
          <t>HEADLINE FRAGILITY METRICS</t>
        </is>
      </c>
    </row>
    <row r="5">
      <c r="A5" s="4" t="inlineStr">
        <is>
          <t>HFFI Score</t>
        </is>
      </c>
      <c r="B5" s="2" t="inlineStr">
        <is>
          <t>44.7 / 100</t>
        </is>
      </c>
      <c r="C5" s="5" t="inlineStr">
        <is>
          <t>0–100 composite fragility index</t>
        </is>
      </c>
    </row>
    <row r="6">
      <c r="A6" s="4" t="inlineStr">
        <is>
          <t>Risk Band</t>
        </is>
      </c>
      <c r="B6" s="6" t="inlineStr">
        <is>
          <t>Moderate Fragility</t>
        </is>
      </c>
      <c r="C6" s="5" t="inlineStr">
        <is>
          <t>Stable / Moderate / High / Severe</t>
        </is>
      </c>
    </row>
    <row r="7">
      <c r="A7" s="4" t="inlineStr">
        <is>
          <t>12-month Distress Probability</t>
        </is>
      </c>
      <c r="B7" s="2" t="inlineStr">
        <is>
          <t>11.6%</t>
        </is>
      </c>
      <c r="C7" s="5" t="inlineStr">
        <is>
          <t>Calibrated logistic</t>
        </is>
      </c>
    </row>
    <row r="8">
      <c r="A8" s="4" t="inlineStr">
        <is>
          <t>Recommended Portfolio</t>
        </is>
      </c>
      <c r="B8" s="2" t="inlineStr">
        <is>
          <t>Balanced</t>
        </is>
      </c>
      <c r="C8" s="5" t="inlineStr">
        <is>
          <t>HFFI-conditional best fit</t>
        </is>
      </c>
    </row>
    <row r="9">
      <c r="A9" s="4" t="inlineStr">
        <is>
          <t>Investment Horizon</t>
        </is>
      </c>
      <c r="B9" s="2" t="inlineStr">
        <is>
          <t>10 years</t>
        </is>
      </c>
      <c r="C9" s="5" t="inlineStr">
        <is>
          <t>User-selected</t>
        </is>
      </c>
    </row>
    <row r="10">
      <c r="A10" s="4" t="inlineStr">
        <is>
          <t>Initial Capital</t>
        </is>
      </c>
      <c r="B10" s="2" t="inlineStr">
        <is>
          <t>$10,000</t>
        </is>
      </c>
      <c r="C10" s="5" t="inlineStr"/>
    </row>
    <row r="11">
      <c r="A11" s="4" t="inlineStr">
        <is>
          <t>Monthly Contribution</t>
        </is>
      </c>
      <c r="B11" s="2" t="inlineStr">
        <is>
          <t>$500</t>
        </is>
      </c>
      <c r="C11" s="5" t="inlineStr"/>
    </row>
    <row r="12"/>
    <row r="13"/>
    <row r="14">
      <c r="A14" s="3" t="inlineStr">
        <is>
          <t>INVESTMENT OUTCOME PROJECTION</t>
        </is>
      </c>
    </row>
    <row r="15">
      <c r="A15" s="4" t="inlineStr">
        <is>
          <t>Expected return (annualized)</t>
        </is>
      </c>
      <c r="B15" s="2" t="inlineStr">
        <is>
          <t>7.0%</t>
        </is>
      </c>
    </row>
    <row r="16">
      <c r="A16" s="4" t="inlineStr">
        <is>
          <t>Volatility (annualized)</t>
        </is>
      </c>
      <c r="B16" s="2" t="inlineStr">
        <is>
          <t>13.0%</t>
        </is>
      </c>
    </row>
    <row r="17">
      <c r="A17" s="4" t="inlineStr">
        <is>
          <t>Median wealth at year 10</t>
        </is>
      </c>
      <c r="B17" s="2" t="inlineStr">
        <is>
          <t>$108,961</t>
        </is>
      </c>
    </row>
    <row r="18">
      <c r="A18" s="4" t="inlineStr">
        <is>
          <t>5th percentile (downside)</t>
        </is>
      </c>
      <c r="B18" s="2" t="inlineStr">
        <is>
          <t>$73,938</t>
        </is>
      </c>
    </row>
    <row r="19">
      <c r="A19" s="4" t="inlineStr">
        <is>
          <t>95th percentile (upside)</t>
        </is>
      </c>
      <c r="B19" s="2" t="inlineStr">
        <is>
          <t>$175,850</t>
        </is>
      </c>
    </row>
    <row r="20">
      <c r="A20" s="4" t="inlineStr">
        <is>
          <t>Expected (mean)</t>
        </is>
      </c>
      <c r="B20" s="2" t="inlineStr">
        <is>
          <t>$115,579</t>
        </is>
      </c>
    </row>
    <row r="21"/>
    <row r="22"/>
    <row r="23">
      <c r="A23" s="3" t="inlineStr">
        <is>
          <t>SUMMARY</t>
        </is>
      </c>
    </row>
    <row r="24" ht="20" customHeight="1">
      <c r="A24" s="7" t="inlineStr">
        <is>
          <t>With a Balanced portfolio over 10 years, starting with $10,000 and contributing $500/month (growing 3%/yr), the median outcome is $108,961. The 5th-95th percentile band is $73,938–$175,850. Total contributed: $78,783; investment growth: $36,796.</t>
        </is>
      </c>
    </row>
    <row r="25"/>
    <row r="26"/>
    <row r="27"/>
  </sheetData>
  <mergeCells count="2">
    <mergeCell ref="A1:D1"/>
    <mergeCell ref="A24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60" customWidth="1" min="4" max="4"/>
  </cols>
  <sheetData>
    <row r="1" ht="28" customHeight="1">
      <c r="A1" s="1" t="inlineStr">
        <is>
          <t>FRAGILITY COMPONENT BREAKDOWN</t>
        </is>
      </c>
    </row>
    <row r="2"/>
    <row r="3">
      <c r="A3" s="3" t="inlineStr">
        <is>
          <t>Component</t>
        </is>
      </c>
      <c r="B3" s="3" t="inlineStr">
        <is>
          <t>Value (0-1)</t>
        </is>
      </c>
      <c r="C3" s="3" t="inlineStr">
        <is>
          <t>Points contributed</t>
        </is>
      </c>
      <c r="D3" s="3" t="inlineStr">
        <is>
          <t>Interpretation</t>
        </is>
      </c>
    </row>
    <row r="4">
      <c r="A4" s="4" t="inlineStr">
        <is>
          <t>Liquidity (L)</t>
        </is>
      </c>
      <c r="B4" s="2" t="n">
        <v>0.619</v>
      </c>
      <c r="C4" s="2" t="n">
        <v>15.48</v>
      </c>
      <c r="D4" s="8" t="inlineStr">
        <is>
          <t>How many months of essentials savings cover. Higher = worse.</t>
        </is>
      </c>
    </row>
    <row r="5">
      <c r="A5" s="4" t="inlineStr">
        <is>
          <t>Debt (D)</t>
        </is>
      </c>
      <c r="B5" s="2" t="n">
        <v>0.202</v>
      </c>
      <c r="C5" s="2" t="n">
        <v>5.06</v>
      </c>
      <c r="D5" s="8" t="inlineStr">
        <is>
          <t>Combined debt-service ratio + leverage. Higher = worse.</t>
        </is>
      </c>
    </row>
    <row r="6">
      <c r="A6" s="4" t="inlineStr">
        <is>
          <t>Expenses (E)</t>
        </is>
      </c>
      <c r="B6" s="2" t="n">
        <v>0.778</v>
      </c>
      <c r="C6" s="2" t="n">
        <v>11.67</v>
      </c>
      <c r="D6" s="8" t="inlineStr">
        <is>
          <t>Share of essential spending. Higher = less buffer to cut.</t>
        </is>
      </c>
    </row>
    <row r="7">
      <c r="A7" s="4" t="inlineStr">
        <is>
          <t>Portfolio (P)</t>
        </is>
      </c>
      <c r="B7" s="2" t="n">
        <v>0.39</v>
      </c>
      <c r="C7" s="2" t="n">
        <v>7.81</v>
      </c>
      <c r="D7" s="8" t="inlineStr">
        <is>
          <t>Volatility + concentration + drawdown exposure.</t>
        </is>
      </c>
    </row>
    <row r="8">
      <c r="A8" s="4" t="inlineStr">
        <is>
          <t>Macro (M)</t>
        </is>
      </c>
      <c r="B8" s="2" t="n">
        <v>0.227</v>
      </c>
      <c r="C8" s="2" t="n">
        <v>3.41</v>
      </c>
      <c r="D8" s="8" t="inlineStr">
        <is>
          <t>Current macro regime stress weighted by your sensitivity.</t>
        </is>
      </c>
    </row>
    <row r="9">
      <c r="A9" s="4" t="inlineStr">
        <is>
          <t>Interaction (L×D)</t>
        </is>
      </c>
      <c r="B9" s="2" t="n">
        <v>0.125</v>
      </c>
      <c r="C9" s="2" t="n">
        <v>1.25</v>
      </c>
      <c r="D9" s="8" t="inlineStr">
        <is>
          <t>Joint stress of low liquidity AND high debt — danger zone.</t>
        </is>
      </c>
    </row>
    <row r="10">
      <c r="A10" s="4" t="inlineStr">
        <is>
          <t>TOTAL HFFI SCORE</t>
        </is>
      </c>
      <c r="C10" s="9" t="n">
        <v>44.7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5" customWidth="1" min="4" max="4"/>
    <col width="16" customWidth="1" min="5" max="5"/>
    <col width="17" customWidth="1" min="6" max="6"/>
    <col width="28" customWidth="1" min="7" max="7"/>
  </cols>
  <sheetData>
    <row r="1" ht="28" customHeight="1">
      <c r="A1" s="1" t="inlineStr">
        <is>
          <t>INVESTMENT PLAN — 10 YEAR HORIZON</t>
        </is>
      </c>
    </row>
    <row r="2"/>
    <row r="3">
      <c r="A3" s="3" t="inlineStr">
        <is>
          <t>ASSUMPTIONS</t>
        </is>
      </c>
    </row>
    <row r="4">
      <c r="A4" s="4" t="inlineStr">
        <is>
          <t>Portfolio template</t>
        </is>
      </c>
      <c r="B4" s="10" t="inlineStr">
        <is>
          <t>Balanced</t>
        </is>
      </c>
    </row>
    <row r="5">
      <c r="A5" s="4" t="inlineStr">
        <is>
          <t>Expected return</t>
        </is>
      </c>
      <c r="B5" s="11" t="n">
        <v>0.07000000000000001</v>
      </c>
    </row>
    <row r="6">
      <c r="A6" s="4" t="inlineStr">
        <is>
          <t>Volatility</t>
        </is>
      </c>
      <c r="B6" s="11" t="n">
        <v>0.13</v>
      </c>
    </row>
    <row r="7">
      <c r="A7" s="4" t="inlineStr">
        <is>
          <t>Initial capital</t>
        </is>
      </c>
      <c r="B7" s="10" t="n">
        <v>10000</v>
      </c>
    </row>
    <row r="8">
      <c r="A8" s="4" t="inlineStr">
        <is>
          <t>Monthly contribution</t>
        </is>
      </c>
      <c r="B8" s="10" t="n">
        <v>500</v>
      </c>
    </row>
    <row r="9">
      <c r="A9" s="4" t="inlineStr">
        <is>
          <t>Annual contribution growth</t>
        </is>
      </c>
      <c r="B9" s="11" t="n">
        <v>0.03</v>
      </c>
    </row>
    <row r="10">
      <c r="A10" s="4" t="inlineStr">
        <is>
          <t>Monte Carlo simulations</t>
        </is>
      </c>
      <c r="B10" s="10" t="n">
        <v>500</v>
      </c>
    </row>
    <row r="11"/>
    <row r="12"/>
    <row r="13">
      <c r="A13" s="3" t="inlineStr">
        <is>
          <t>YEAR-BY-YEAR PROJECTION</t>
        </is>
      </c>
    </row>
    <row r="14">
      <c r="A14" s="3" t="inlineStr">
        <is>
          <t>Year</t>
        </is>
      </c>
      <c r="B14" s="3" t="inlineStr">
        <is>
          <t>Cumulative contributions</t>
        </is>
      </c>
      <c r="C14" s="3" t="inlineStr">
        <is>
          <t>5th percentile</t>
        </is>
      </c>
      <c r="D14" s="3" t="inlineStr">
        <is>
          <t>Median (50th)</t>
        </is>
      </c>
      <c r="E14" s="3" t="inlineStr">
        <is>
          <t>Expected value</t>
        </is>
      </c>
      <c r="F14" s="3" t="inlineStr">
        <is>
          <t>95th percentile</t>
        </is>
      </c>
      <c r="G14" s="3" t="inlineStr">
        <is>
          <t>Growth above contributions</t>
        </is>
      </c>
    </row>
    <row r="15">
      <c r="A15" t="n">
        <v>0</v>
      </c>
      <c r="B15" s="12" t="n">
        <v>10000</v>
      </c>
      <c r="C15" s="12" t="n">
        <v>10000</v>
      </c>
      <c r="D15" s="12" t="n">
        <v>10000</v>
      </c>
      <c r="E15" s="12" t="n">
        <v>10000</v>
      </c>
      <c r="F15" s="12" t="n">
        <v>10000</v>
      </c>
      <c r="G15" s="13" t="n">
        <v>0</v>
      </c>
    </row>
    <row r="16">
      <c r="A16" t="n">
        <v>1</v>
      </c>
      <c r="B16" s="12" t="n">
        <v>16000</v>
      </c>
      <c r="C16" s="12" t="n">
        <v>14211</v>
      </c>
      <c r="D16" s="12" t="n">
        <v>16714</v>
      </c>
      <c r="E16" s="12" t="n">
        <v>16923</v>
      </c>
      <c r="F16" s="12" t="n">
        <v>20112</v>
      </c>
      <c r="G16" s="13" t="n">
        <v>923</v>
      </c>
    </row>
    <row r="17">
      <c r="A17" t="n">
        <v>2</v>
      </c>
      <c r="B17" s="12" t="n">
        <v>22180</v>
      </c>
      <c r="C17" s="12" t="n">
        <v>19569</v>
      </c>
      <c r="D17" s="12" t="n">
        <v>24138</v>
      </c>
      <c r="E17" s="12" t="n">
        <v>24523</v>
      </c>
      <c r="F17" s="12" t="n">
        <v>30821</v>
      </c>
      <c r="G17" s="13" t="n">
        <v>2343</v>
      </c>
    </row>
    <row r="18">
      <c r="A18" t="n">
        <v>3</v>
      </c>
      <c r="B18" s="12" t="n">
        <v>28545</v>
      </c>
      <c r="C18" s="12" t="n">
        <v>24909</v>
      </c>
      <c r="D18" s="12" t="n">
        <v>32452</v>
      </c>
      <c r="E18" s="12" t="n">
        <v>32830</v>
      </c>
      <c r="F18" s="12" t="n">
        <v>41692</v>
      </c>
      <c r="G18" s="13" t="n">
        <v>4284</v>
      </c>
    </row>
    <row r="19">
      <c r="A19" t="n">
        <v>4</v>
      </c>
      <c r="B19" s="12" t="n">
        <v>35102</v>
      </c>
      <c r="C19" s="12" t="n">
        <v>30529</v>
      </c>
      <c r="D19" s="12" t="n">
        <v>41186</v>
      </c>
      <c r="E19" s="12" t="n">
        <v>41834</v>
      </c>
      <c r="F19" s="12" t="n">
        <v>55714</v>
      </c>
      <c r="G19" s="13" t="n">
        <v>6732</v>
      </c>
    </row>
    <row r="20">
      <c r="A20" t="n">
        <v>5</v>
      </c>
      <c r="B20" s="12" t="n">
        <v>41855</v>
      </c>
      <c r="C20" s="12" t="n">
        <v>36733</v>
      </c>
      <c r="D20" s="12" t="n">
        <v>50311</v>
      </c>
      <c r="E20" s="12" t="n">
        <v>51458</v>
      </c>
      <c r="F20" s="12" t="n">
        <v>71234</v>
      </c>
      <c r="G20" s="13" t="n">
        <v>9604</v>
      </c>
    </row>
    <row r="21">
      <c r="A21" t="n">
        <v>6</v>
      </c>
      <c r="B21" s="12" t="n">
        <v>48810</v>
      </c>
      <c r="C21" s="12" t="n">
        <v>43121</v>
      </c>
      <c r="D21" s="12" t="n">
        <v>60013</v>
      </c>
      <c r="E21" s="12" t="n">
        <v>62226</v>
      </c>
      <c r="F21" s="12" t="n">
        <v>88997</v>
      </c>
      <c r="G21" s="13" t="n">
        <v>13415</v>
      </c>
    </row>
    <row r="22">
      <c r="A22" t="n">
        <v>7</v>
      </c>
      <c r="B22" s="12" t="n">
        <v>55975</v>
      </c>
      <c r="C22" s="12" t="n">
        <v>49313</v>
      </c>
      <c r="D22" s="12" t="n">
        <v>71970</v>
      </c>
      <c r="E22" s="12" t="n">
        <v>74458</v>
      </c>
      <c r="F22" s="12" t="n">
        <v>106205</v>
      </c>
      <c r="G22" s="13" t="n">
        <v>18483</v>
      </c>
    </row>
    <row r="23">
      <c r="A23" t="n">
        <v>8</v>
      </c>
      <c r="B23" s="12" t="n">
        <v>63354</v>
      </c>
      <c r="C23" s="12" t="n">
        <v>56174</v>
      </c>
      <c r="D23" s="12" t="n">
        <v>84215</v>
      </c>
      <c r="E23" s="12" t="n">
        <v>87301</v>
      </c>
      <c r="F23" s="12" t="n">
        <v>131503</v>
      </c>
      <c r="G23" s="13" t="n">
        <v>23947</v>
      </c>
    </row>
    <row r="24">
      <c r="A24" t="n">
        <v>9</v>
      </c>
      <c r="B24" s="12" t="n">
        <v>70955</v>
      </c>
      <c r="C24" s="12" t="n">
        <v>66600</v>
      </c>
      <c r="D24" s="12" t="n">
        <v>98119</v>
      </c>
      <c r="E24" s="12" t="n">
        <v>101259</v>
      </c>
      <c r="F24" s="12" t="n">
        <v>156142</v>
      </c>
      <c r="G24" s="13" t="n">
        <v>30304</v>
      </c>
    </row>
    <row r="25">
      <c r="A25" t="n">
        <v>10</v>
      </c>
      <c r="B25" s="12" t="n">
        <v>78783</v>
      </c>
      <c r="C25" s="12" t="n">
        <v>73938</v>
      </c>
      <c r="D25" s="12" t="n">
        <v>108961</v>
      </c>
      <c r="E25" s="12" t="n">
        <v>115579</v>
      </c>
      <c r="F25" s="12" t="n">
        <v>175850</v>
      </c>
      <c r="G25" s="13" t="n">
        <v>36796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 ht="28" customHeight="1">
      <c r="A1" s="1" t="inlineStr">
        <is>
          <t>ALL PORTFOLIOS — SIDE BY SIDE</t>
        </is>
      </c>
    </row>
    <row r="2"/>
    <row r="3">
      <c r="A3" s="3" t="inlineStr">
        <is>
          <t>portfolio</t>
        </is>
      </c>
      <c r="B3" s="3" t="inlineStr">
        <is>
          <t>expected_return</t>
        </is>
      </c>
      <c r="C3" s="3" t="inlineStr">
        <is>
          <t>volatility</t>
        </is>
      </c>
      <c r="D3" s="3" t="inlineStr">
        <is>
          <t>median_value_y10</t>
        </is>
      </c>
      <c r="E3" s="3" t="inlineStr">
        <is>
          <t>5th_pctile_value_y10</t>
        </is>
      </c>
      <c r="F3" s="3" t="inlineStr">
        <is>
          <t>95th_pctile_value_y10</t>
        </is>
      </c>
      <c r="G3" s="3" t="inlineStr">
        <is>
          <t>expected_value</t>
        </is>
      </c>
    </row>
    <row r="4">
      <c r="A4" t="inlineStr">
        <is>
          <t>Conservative</t>
        </is>
      </c>
      <c r="B4" s="14" t="n">
        <v>0.05</v>
      </c>
      <c r="C4" s="14" t="n">
        <v>0.08</v>
      </c>
      <c r="D4" s="12" t="n">
        <v>102180</v>
      </c>
      <c r="E4" s="12" t="n">
        <v>78937</v>
      </c>
      <c r="F4" s="12" t="n">
        <v>132718</v>
      </c>
      <c r="G4" s="12" t="n">
        <v>103535</v>
      </c>
    </row>
    <row r="5">
      <c r="A5" t="inlineStr">
        <is>
          <t>Balanced</t>
        </is>
      </c>
      <c r="B5" s="14" t="n">
        <v>0.07000000000000001</v>
      </c>
      <c r="C5" s="14" t="n">
        <v>0.13</v>
      </c>
      <c r="D5" s="12" t="n">
        <v>111521</v>
      </c>
      <c r="E5" s="12" t="n">
        <v>73403</v>
      </c>
      <c r="F5" s="12" t="n">
        <v>173222</v>
      </c>
      <c r="G5" s="12" t="n">
        <v>115701</v>
      </c>
    </row>
    <row r="6">
      <c r="A6" t="inlineStr">
        <is>
          <t>Growth</t>
        </is>
      </c>
      <c r="B6" s="14" t="n">
        <v>0.1</v>
      </c>
      <c r="C6" s="14" t="n">
        <v>0.2</v>
      </c>
      <c r="D6" s="12" t="n">
        <v>124493</v>
      </c>
      <c r="E6" s="12" t="n">
        <v>65567</v>
      </c>
      <c r="F6" s="12" t="n">
        <v>253027</v>
      </c>
      <c r="G6" s="12" t="n">
        <v>136923</v>
      </c>
    </row>
    <row r="7">
      <c r="A7" t="inlineStr">
        <is>
          <t>Aggressive Growth</t>
        </is>
      </c>
      <c r="B7" s="14" t="n">
        <v>0.12</v>
      </c>
      <c r="C7" s="14" t="n">
        <v>0.25</v>
      </c>
      <c r="D7" s="12" t="n">
        <v>131606</v>
      </c>
      <c r="E7" s="12" t="n">
        <v>59204</v>
      </c>
      <c r="F7" s="12" t="n">
        <v>323550</v>
      </c>
      <c r="G7" s="12" t="n">
        <v>153279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0" customWidth="1" min="3" max="3"/>
    <col width="15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2" customWidth="1" min="10" max="10"/>
  </cols>
  <sheetData>
    <row r="1" ht="28" customHeight="1">
      <c r="A1" s="1" t="inlineStr">
        <is>
          <t>STRESS-TEST RESULTS</t>
        </is>
      </c>
    </row>
    <row r="2"/>
    <row r="3">
      <c r="A3" s="3" t="inlineStr">
        <is>
          <t>scenario</t>
        </is>
      </c>
      <c r="B3" s="3" t="inlineStr">
        <is>
          <t>HFFI</t>
        </is>
      </c>
      <c r="C3" s="3" t="inlineStr">
        <is>
          <t>band</t>
        </is>
      </c>
      <c r="D3" s="3" t="inlineStr">
        <is>
          <t>distress_prob</t>
        </is>
      </c>
      <c r="E3" s="3" t="inlineStr">
        <is>
          <t>L</t>
        </is>
      </c>
      <c r="F3" s="3" t="inlineStr">
        <is>
          <t>D</t>
        </is>
      </c>
      <c r="G3" s="3" t="inlineStr">
        <is>
          <t>E</t>
        </is>
      </c>
      <c r="H3" s="3" t="inlineStr">
        <is>
          <t>P</t>
        </is>
      </c>
      <c r="I3" s="3" t="inlineStr">
        <is>
          <t>M</t>
        </is>
      </c>
    </row>
    <row r="4">
      <c r="A4" t="inlineStr">
        <is>
          <t>baseline</t>
        </is>
      </c>
      <c r="B4" t="n">
        <v>44.7</v>
      </c>
      <c r="C4" s="15" t="inlineStr">
        <is>
          <t>Moderate Fragility</t>
        </is>
      </c>
      <c r="D4" t="n">
        <v>0.116</v>
      </c>
      <c r="E4" t="n">
        <v>0.619</v>
      </c>
      <c r="F4" t="n">
        <v>0.202</v>
      </c>
      <c r="G4" t="n">
        <v>0.778</v>
      </c>
      <c r="H4" t="n">
        <v>0.39</v>
      </c>
      <c r="I4" t="n">
        <v>0.227</v>
      </c>
    </row>
    <row r="5">
      <c r="A5" t="inlineStr">
        <is>
          <t>mild_recession</t>
        </is>
      </c>
      <c r="B5" t="n">
        <v>51.3</v>
      </c>
      <c r="C5" s="15" t="inlineStr">
        <is>
          <t>Moderate Fragility</t>
        </is>
      </c>
      <c r="D5" t="n">
        <v>0.203</v>
      </c>
      <c r="E5" t="n">
        <v>0.619</v>
      </c>
      <c r="F5" t="n">
        <v>0.225</v>
      </c>
      <c r="G5" t="n">
        <v>0.778</v>
      </c>
      <c r="H5" t="n">
        <v>0.48</v>
      </c>
      <c r="I5" t="n">
        <v>0.505</v>
      </c>
    </row>
    <row r="6">
      <c r="A6" t="inlineStr">
        <is>
          <t>severe_recession</t>
        </is>
      </c>
      <c r="B6" t="n">
        <v>59.7</v>
      </c>
      <c r="C6" s="15" t="inlineStr">
        <is>
          <t>Moderate Fragility</t>
        </is>
      </c>
      <c r="D6" t="n">
        <v>0.371</v>
      </c>
      <c r="E6" t="n">
        <v>0.619</v>
      </c>
      <c r="F6" t="n">
        <v>0.27</v>
      </c>
      <c r="G6" t="n">
        <v>0.778</v>
      </c>
      <c r="H6" t="n">
        <v>0.57</v>
      </c>
      <c r="I6" t="n">
        <v>0.85</v>
      </c>
    </row>
    <row r="7">
      <c r="A7" t="inlineStr">
        <is>
          <t>stagflation</t>
        </is>
      </c>
      <c r="B7" t="n">
        <v>55.4</v>
      </c>
      <c r="C7" s="15" t="inlineStr">
        <is>
          <t>Moderate Fragility</t>
        </is>
      </c>
      <c r="D7" t="n">
        <v>0.277</v>
      </c>
      <c r="E7" t="n">
        <v>0.619</v>
      </c>
      <c r="F7" t="n">
        <v>0.213</v>
      </c>
      <c r="G7" t="n">
        <v>0.778</v>
      </c>
      <c r="H7" t="n">
        <v>0.51</v>
      </c>
      <c r="I7" t="n">
        <v>0.76</v>
      </c>
    </row>
    <row r="8">
      <c r="A8" t="inlineStr">
        <is>
          <t>job_loss</t>
        </is>
      </c>
      <c r="B8" t="n">
        <v>69.5</v>
      </c>
      <c r="C8" s="16" t="inlineStr">
        <is>
          <t>High Fragility</t>
        </is>
      </c>
      <c r="D8" t="n">
        <v>0.612</v>
      </c>
      <c r="E8" t="n">
        <v>0.619</v>
      </c>
      <c r="F8" t="n">
        <v>1</v>
      </c>
      <c r="G8" t="n">
        <v>0.778</v>
      </c>
      <c r="H8" t="n">
        <v>0.39</v>
      </c>
      <c r="I8" t="n">
        <v>0.227</v>
      </c>
    </row>
    <row r="9">
      <c r="A9" t="inlineStr">
        <is>
          <t>rate_shock</t>
        </is>
      </c>
      <c r="B9" t="n">
        <v>47.4</v>
      </c>
      <c r="C9" s="15" t="inlineStr">
        <is>
          <t>Moderate Fragility</t>
        </is>
      </c>
      <c r="D9" t="n">
        <v>0.147</v>
      </c>
      <c r="E9" t="n">
        <v>0.619</v>
      </c>
      <c r="F9" t="n">
        <v>0.202</v>
      </c>
      <c r="G9" t="n">
        <v>0.778</v>
      </c>
      <c r="H9" t="n">
        <v>0.45</v>
      </c>
      <c r="I9" t="n">
        <v>0.33</v>
      </c>
    </row>
    <row r="10">
      <c r="A10" t="inlineStr">
        <is>
          <t>market_crash</t>
        </is>
      </c>
      <c r="B10" t="n">
        <v>48.3</v>
      </c>
      <c r="C10" s="15" t="inlineStr">
        <is>
          <t>Moderate Fragility</t>
        </is>
      </c>
      <c r="D10" t="n">
        <v>0.158</v>
      </c>
      <c r="E10" t="n">
        <v>0.619</v>
      </c>
      <c r="F10" t="n">
        <v>0.202</v>
      </c>
      <c r="G10" t="n">
        <v>0.778</v>
      </c>
      <c r="H10" t="n">
        <v>0.57</v>
      </c>
      <c r="I10" t="n">
        <v>0.227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49" customWidth="1" min="3" max="3"/>
    <col width="70" customWidth="1" min="4" max="4"/>
    <col width="61" customWidth="1" min="5" max="5"/>
  </cols>
  <sheetData>
    <row r="1" ht="28" customHeight="1">
      <c r="A1" s="1" t="inlineStr">
        <is>
          <t>RULE-BASED RECOMMENDATIONS</t>
        </is>
      </c>
    </row>
    <row r="2"/>
    <row r="3">
      <c r="A3" s="3" t="inlineStr">
        <is>
          <t>Priority</t>
        </is>
      </c>
      <c r="B3" s="3" t="inlineStr">
        <is>
          <t>Component</t>
        </is>
      </c>
      <c r="C3" s="3" t="inlineStr">
        <is>
          <t>Action</t>
        </is>
      </c>
      <c r="D3" s="3" t="inlineStr">
        <is>
          <t>Detail</t>
        </is>
      </c>
      <c r="E3" s="3" t="inlineStr">
        <is>
          <t>Expected Impact</t>
        </is>
      </c>
    </row>
    <row r="4">
      <c r="A4" t="n">
        <v>1</v>
      </c>
      <c r="B4" t="inlineStr">
        <is>
          <t>Liquidity</t>
        </is>
      </c>
      <c r="C4" s="4" t="inlineStr">
        <is>
          <t>Build a 3–6 month emergency fund as priority #1</t>
        </is>
      </c>
      <c r="D4" s="17" t="inlineStr">
        <is>
          <t>Liquid savings cover less than 2 months of essential expenses. Until this gap closes, every other shock compounds. Target: at least 3 months in a high-yield savings account before adding equity risk.</t>
        </is>
      </c>
      <c r="E4" s="17" t="inlineStr">
        <is>
          <t>Drops L by ~0.3–0.5; reduces overall HFFI by ~10–15 points.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</cols>
  <sheetData>
    <row r="1" ht="28" customHeight="1">
      <c r="A1" s="1" t="inlineStr">
        <is>
          <t>CURRENT MACRO INDICATORS</t>
        </is>
      </c>
    </row>
    <row r="2"/>
    <row r="3">
      <c r="A3" s="3" t="inlineStr">
        <is>
          <t>Indicator</t>
        </is>
      </c>
      <c r="B3" s="3" t="inlineStr">
        <is>
          <t>Value</t>
        </is>
      </c>
      <c r="C3" s="3" t="inlineStr">
        <is>
          <t>Notes</t>
        </is>
      </c>
    </row>
    <row r="4">
      <c r="A4" s="4" t="inlineStr">
        <is>
          <t>Inflation (CPI YoY)</t>
        </is>
      </c>
      <c r="B4" s="2" t="inlineStr">
        <is>
          <t>3.20%</t>
        </is>
      </c>
      <c r="C4" s="8" t="inlineStr">
        <is>
          <t>Headline CPI year-over-year</t>
        </is>
      </c>
    </row>
    <row r="5">
      <c r="A5" s="4" t="inlineStr">
        <is>
          <t>Federal Funds Rate</t>
        </is>
      </c>
      <c r="B5" s="2" t="inlineStr">
        <is>
          <t>5.00%</t>
        </is>
      </c>
      <c r="C5" s="8" t="inlineStr">
        <is>
          <t>Effective FFR</t>
        </is>
      </c>
    </row>
    <row r="6">
      <c r="A6" s="4" t="inlineStr">
        <is>
          <t>Unemployment Rate</t>
        </is>
      </c>
      <c r="B6" s="2" t="inlineStr">
        <is>
          <t>3.80%</t>
        </is>
      </c>
      <c r="C6" s="8" t="inlineStr">
        <is>
          <t>U3</t>
        </is>
      </c>
    </row>
    <row r="7">
      <c r="A7" s="4" t="inlineStr">
        <is>
          <t>30y Mortgage Rate</t>
        </is>
      </c>
      <c r="B7" s="2" t="inlineStr">
        <is>
          <t>7.20%</t>
        </is>
      </c>
      <c r="C7" s="8" t="inlineStr">
        <is>
          <t>Freddie Mac PMMS</t>
        </is>
      </c>
    </row>
    <row r="8">
      <c r="A8" s="4" t="inlineStr">
        <is>
          <t>10y Treasury Yield</t>
        </is>
      </c>
      <c r="B8" s="2" t="inlineStr">
        <is>
          <t>4.40%</t>
        </is>
      </c>
      <c r="C8" s="8" t="inlineStr"/>
    </row>
    <row r="9">
      <c r="A9" s="4" t="inlineStr">
        <is>
          <t>2y Treasury Yield</t>
        </is>
      </c>
      <c r="B9" s="2" t="inlineStr">
        <is>
          <t>4.80%</t>
        </is>
      </c>
      <c r="C9" s="8" t="inlineStr"/>
    </row>
    <row r="10">
      <c r="A10" s="4" t="inlineStr">
        <is>
          <t>Yield Curve Spread</t>
        </is>
      </c>
      <c r="B10" s="2" t="inlineStr">
        <is>
          <t>-0.40%</t>
        </is>
      </c>
      <c r="C10" s="8" t="inlineStr">
        <is>
          <t>10y - 2y</t>
        </is>
      </c>
    </row>
    <row r="11">
      <c r="A11" s="4" t="inlineStr">
        <is>
          <t>VIX</t>
        </is>
      </c>
      <c r="B11" s="2" t="inlineStr">
        <is>
          <t>14.5</t>
        </is>
      </c>
      <c r="C11" s="8" t="inlineStr">
        <is>
          <t>Implied volatility (S&amp;P 500)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2026-05-07T10:12:07Z</dcterms:created>
  <dcterms:modified xsi:type="dcterms:W3CDTF">2026-05-07T10:12:07Z</dcterms:modified>
</cp:coreProperties>
</file>